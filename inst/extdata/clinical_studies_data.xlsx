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tation\Products\AIMetaAnalysis\inst\extdata\"/>
    </mc:Choice>
  </mc:AlternateContent>
  <xr:revisionPtr revIDLastSave="0" documentId="13_ncr:1_{F3BEAFBC-5C91-4569-A24C-6516D687F5A3}" xr6:coauthVersionLast="47" xr6:coauthVersionMax="47" xr10:uidLastSave="{00000000-0000-0000-0000-000000000000}"/>
  <bookViews>
    <workbookView xWindow="-103" yWindow="-103" windowWidth="22149" windowHeight="13200" activeTab="2" xr2:uid="{E48AEDA6-24C4-4F19-8C79-FEB57B06AF66}"/>
  </bookViews>
  <sheets>
    <sheet name="studies_info" sheetId="1" r:id="rId1"/>
    <sheet name="binary_data" sheetId="2" r:id="rId2"/>
    <sheet name="survival" sheetId="3" r:id="rId3"/>
    <sheet name="continuous" sheetId="4" r:id="rId4"/>
    <sheet name="Sheet1" sheetId="5" r:id="rId5"/>
  </sheets>
  <definedNames>
    <definedName name="_xlnm._FilterDatabase" localSheetId="1" hidden="1">binary_data!$A$1:$Y$800</definedName>
    <definedName name="_xlnm._FilterDatabase" localSheetId="0" hidden="1">studies_info!$A$1:$O$12</definedName>
    <definedName name="_xlnm._FilterDatabase" localSheetId="2" hidden="1">survival!$A$1:$AG$255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5" i="3" l="1"/>
  <c r="W255" i="3"/>
  <c r="Y255" i="3" s="1"/>
  <c r="X254" i="3"/>
  <c r="W254" i="3"/>
  <c r="Y254" i="3" s="1"/>
  <c r="X253" i="3"/>
  <c r="W253" i="3"/>
  <c r="Y253" i="3" s="1"/>
  <c r="X252" i="3"/>
  <c r="W252" i="3"/>
  <c r="Y252" i="3" s="1"/>
  <c r="X251" i="3"/>
  <c r="W251" i="3"/>
  <c r="Y251" i="3" s="1"/>
  <c r="X250" i="3"/>
  <c r="W250" i="3"/>
  <c r="Y250" i="3" s="1"/>
  <c r="X249" i="3"/>
  <c r="W249" i="3"/>
  <c r="Y249" i="3" s="1"/>
  <c r="X248" i="3"/>
  <c r="W248" i="3"/>
  <c r="Y248" i="3" s="1"/>
  <c r="X247" i="3"/>
  <c r="W247" i="3"/>
  <c r="Y247" i="3" s="1"/>
  <c r="X246" i="3"/>
  <c r="W246" i="3"/>
  <c r="Y246" i="3" s="1"/>
  <c r="X245" i="3"/>
  <c r="W245" i="3"/>
  <c r="Y245" i="3" s="1"/>
  <c r="X244" i="3"/>
  <c r="W244" i="3"/>
  <c r="Y244" i="3" s="1"/>
  <c r="X243" i="3"/>
  <c r="W243" i="3"/>
  <c r="Y243" i="3" s="1"/>
  <c r="X242" i="3"/>
  <c r="W242" i="3"/>
  <c r="Y242" i="3" s="1"/>
  <c r="X241" i="3"/>
  <c r="W241" i="3"/>
  <c r="Y241" i="3" s="1"/>
  <c r="X240" i="3"/>
  <c r="W240" i="3"/>
  <c r="Y240" i="3" s="1"/>
  <c r="X239" i="3"/>
  <c r="W239" i="3"/>
  <c r="Y239" i="3" s="1"/>
  <c r="X238" i="3"/>
  <c r="W238" i="3"/>
  <c r="Y238" i="3" s="1"/>
  <c r="X237" i="3"/>
  <c r="W237" i="3"/>
  <c r="Y237" i="3" s="1"/>
  <c r="X236" i="3"/>
  <c r="W236" i="3"/>
  <c r="Y236" i="3" s="1"/>
  <c r="X235" i="3"/>
  <c r="W235" i="3"/>
  <c r="Y235" i="3" s="1"/>
  <c r="X234" i="3"/>
  <c r="W234" i="3"/>
  <c r="Y234" i="3" s="1"/>
  <c r="X233" i="3"/>
  <c r="W233" i="3"/>
  <c r="Y233" i="3" s="1"/>
  <c r="X232" i="3"/>
  <c r="W232" i="3"/>
  <c r="Y232" i="3" s="1"/>
  <c r="X231" i="3"/>
  <c r="W231" i="3"/>
  <c r="Y231" i="3" s="1"/>
  <c r="X230" i="3"/>
  <c r="W230" i="3"/>
  <c r="Y230" i="3" s="1"/>
  <c r="X229" i="3"/>
  <c r="W229" i="3"/>
  <c r="Y229" i="3" s="1"/>
  <c r="X228" i="3"/>
  <c r="W228" i="3"/>
  <c r="Y228" i="3" s="1"/>
  <c r="W3" i="3"/>
  <c r="Y3" i="3" s="1"/>
  <c r="W4" i="3"/>
  <c r="Y4" i="3" s="1"/>
  <c r="W5" i="3"/>
  <c r="Y5" i="3" s="1"/>
  <c r="W6" i="3"/>
  <c r="W7" i="3"/>
  <c r="Y7" i="3" s="1"/>
  <c r="W8" i="3"/>
  <c r="Y8" i="3" s="1"/>
  <c r="W9" i="3"/>
  <c r="Y9" i="3" s="1"/>
  <c r="W10" i="3"/>
  <c r="Y10" i="3" s="1"/>
  <c r="W11" i="3"/>
  <c r="Y11" i="3" s="1"/>
  <c r="W12" i="3"/>
  <c r="Y12" i="3" s="1"/>
  <c r="W13" i="3"/>
  <c r="Y13" i="3" s="1"/>
  <c r="W14" i="3"/>
  <c r="Y14" i="3" s="1"/>
  <c r="W15" i="3"/>
  <c r="Y15" i="3" s="1"/>
  <c r="W16" i="3"/>
  <c r="Y16" i="3" s="1"/>
  <c r="W17" i="3"/>
  <c r="Y17" i="3" s="1"/>
  <c r="W18" i="3"/>
  <c r="Y18" i="3" s="1"/>
  <c r="W19" i="3"/>
  <c r="Y19" i="3" s="1"/>
  <c r="W20" i="3"/>
  <c r="Y20" i="3" s="1"/>
  <c r="W21" i="3"/>
  <c r="Y21" i="3" s="1"/>
  <c r="W22" i="3"/>
  <c r="Y22" i="3" s="1"/>
  <c r="W23" i="3"/>
  <c r="Y23" i="3" s="1"/>
  <c r="W24" i="3"/>
  <c r="Y24" i="3" s="1"/>
  <c r="W25" i="3"/>
  <c r="Y25" i="3" s="1"/>
  <c r="W26" i="3"/>
  <c r="Y26" i="3" s="1"/>
  <c r="W27" i="3"/>
  <c r="Y27" i="3" s="1"/>
  <c r="W28" i="3"/>
  <c r="Y28" i="3" s="1"/>
  <c r="W29" i="3"/>
  <c r="Y29" i="3" s="1"/>
  <c r="W30" i="3"/>
  <c r="Y30" i="3" s="1"/>
  <c r="W31" i="3"/>
  <c r="Y31" i="3" s="1"/>
  <c r="W32" i="3"/>
  <c r="Y32" i="3" s="1"/>
  <c r="W33" i="3"/>
  <c r="Y33" i="3" s="1"/>
  <c r="W34" i="3"/>
  <c r="Y34" i="3" s="1"/>
  <c r="W35" i="3"/>
  <c r="Y35" i="3" s="1"/>
  <c r="W36" i="3"/>
  <c r="Y36" i="3" s="1"/>
  <c r="W37" i="3"/>
  <c r="Y37" i="3" s="1"/>
  <c r="W38" i="3"/>
  <c r="Y38" i="3" s="1"/>
  <c r="W39" i="3"/>
  <c r="Y39" i="3" s="1"/>
  <c r="W40" i="3"/>
  <c r="Y40" i="3" s="1"/>
  <c r="W41" i="3"/>
  <c r="Y41" i="3" s="1"/>
  <c r="W42" i="3"/>
  <c r="Y42" i="3" s="1"/>
  <c r="W43" i="3"/>
  <c r="Y43" i="3" s="1"/>
  <c r="W44" i="3"/>
  <c r="Y44" i="3" s="1"/>
  <c r="W45" i="3"/>
  <c r="Y45" i="3" s="1"/>
  <c r="W46" i="3"/>
  <c r="Y46" i="3" s="1"/>
  <c r="W47" i="3"/>
  <c r="Y47" i="3" s="1"/>
  <c r="W48" i="3"/>
  <c r="Y48" i="3" s="1"/>
  <c r="W49" i="3"/>
  <c r="Y49" i="3" s="1"/>
  <c r="W50" i="3"/>
  <c r="Y50" i="3" s="1"/>
  <c r="W51" i="3"/>
  <c r="Y51" i="3" s="1"/>
  <c r="W52" i="3"/>
  <c r="Y52" i="3" s="1"/>
  <c r="W53" i="3"/>
  <c r="Y53" i="3" s="1"/>
  <c r="W54" i="3"/>
  <c r="Y54" i="3" s="1"/>
  <c r="W55" i="3"/>
  <c r="Y55" i="3" s="1"/>
  <c r="W56" i="3"/>
  <c r="Y56" i="3" s="1"/>
  <c r="W57" i="3"/>
  <c r="Y57" i="3" s="1"/>
  <c r="W58" i="3"/>
  <c r="Y58" i="3" s="1"/>
  <c r="W59" i="3"/>
  <c r="Y59" i="3" s="1"/>
  <c r="W60" i="3"/>
  <c r="Y60" i="3" s="1"/>
  <c r="W61" i="3"/>
  <c r="Y61" i="3" s="1"/>
  <c r="W62" i="3"/>
  <c r="Y62" i="3" s="1"/>
  <c r="W63" i="3"/>
  <c r="Y63" i="3" s="1"/>
  <c r="W64" i="3"/>
  <c r="Y64" i="3" s="1"/>
  <c r="W65" i="3"/>
  <c r="Y65" i="3" s="1"/>
  <c r="W66" i="3"/>
  <c r="Y66" i="3" s="1"/>
  <c r="W67" i="3"/>
  <c r="Y67" i="3" s="1"/>
  <c r="W68" i="3"/>
  <c r="Y68" i="3" s="1"/>
  <c r="W69" i="3"/>
  <c r="Y69" i="3" s="1"/>
  <c r="W70" i="3"/>
  <c r="Y70" i="3" s="1"/>
  <c r="W71" i="3"/>
  <c r="Y71" i="3" s="1"/>
  <c r="W72" i="3"/>
  <c r="Y72" i="3" s="1"/>
  <c r="W73" i="3"/>
  <c r="Y73" i="3" s="1"/>
  <c r="W74" i="3"/>
  <c r="Y74" i="3" s="1"/>
  <c r="W75" i="3"/>
  <c r="Y75" i="3" s="1"/>
  <c r="W76" i="3"/>
  <c r="Y76" i="3" s="1"/>
  <c r="W77" i="3"/>
  <c r="Y77" i="3" s="1"/>
  <c r="W78" i="3"/>
  <c r="Y78" i="3" s="1"/>
  <c r="W79" i="3"/>
  <c r="Y79" i="3" s="1"/>
  <c r="W80" i="3"/>
  <c r="Y80" i="3" s="1"/>
  <c r="W81" i="3"/>
  <c r="Y81" i="3" s="1"/>
  <c r="W82" i="3"/>
  <c r="Y82" i="3" s="1"/>
  <c r="W83" i="3"/>
  <c r="Y83" i="3" s="1"/>
  <c r="W84" i="3"/>
  <c r="Y84" i="3" s="1"/>
  <c r="W85" i="3"/>
  <c r="Y85" i="3" s="1"/>
  <c r="W86" i="3"/>
  <c r="Y86" i="3" s="1"/>
  <c r="W87" i="3"/>
  <c r="Y87" i="3" s="1"/>
  <c r="W88" i="3"/>
  <c r="Y88" i="3" s="1"/>
  <c r="W89" i="3"/>
  <c r="Y89" i="3" s="1"/>
  <c r="W90" i="3"/>
  <c r="Y90" i="3" s="1"/>
  <c r="W91" i="3"/>
  <c r="Y91" i="3" s="1"/>
  <c r="W92" i="3"/>
  <c r="Y92" i="3" s="1"/>
  <c r="W93" i="3"/>
  <c r="Y93" i="3" s="1"/>
  <c r="W94" i="3"/>
  <c r="Y94" i="3" s="1"/>
  <c r="W95" i="3"/>
  <c r="Y95" i="3" s="1"/>
  <c r="W96" i="3"/>
  <c r="Y96" i="3" s="1"/>
  <c r="W97" i="3"/>
  <c r="Y97" i="3" s="1"/>
  <c r="W98" i="3"/>
  <c r="Y98" i="3" s="1"/>
  <c r="W99" i="3"/>
  <c r="Y99" i="3" s="1"/>
  <c r="W100" i="3"/>
  <c r="Y100" i="3" s="1"/>
  <c r="W101" i="3"/>
  <c r="Y101" i="3" s="1"/>
  <c r="W102" i="3"/>
  <c r="Y102" i="3" s="1"/>
  <c r="W103" i="3"/>
  <c r="Y103" i="3" s="1"/>
  <c r="W104" i="3"/>
  <c r="Y104" i="3" s="1"/>
  <c r="W105" i="3"/>
  <c r="Y105" i="3" s="1"/>
  <c r="W106" i="3"/>
  <c r="Y106" i="3" s="1"/>
  <c r="W107" i="3"/>
  <c r="Y107" i="3" s="1"/>
  <c r="W108" i="3"/>
  <c r="Y108" i="3" s="1"/>
  <c r="W109" i="3"/>
  <c r="Y109" i="3" s="1"/>
  <c r="W110" i="3"/>
  <c r="Y110" i="3" s="1"/>
  <c r="W111" i="3"/>
  <c r="Y111" i="3" s="1"/>
  <c r="W112" i="3"/>
  <c r="Y112" i="3" s="1"/>
  <c r="W113" i="3"/>
  <c r="Y113" i="3" s="1"/>
  <c r="W114" i="3"/>
  <c r="Y114" i="3" s="1"/>
  <c r="W115" i="3"/>
  <c r="Y115" i="3" s="1"/>
  <c r="W116" i="3"/>
  <c r="Y116" i="3" s="1"/>
  <c r="W117" i="3"/>
  <c r="Y117" i="3" s="1"/>
  <c r="W118" i="3"/>
  <c r="Y118" i="3" s="1"/>
  <c r="W119" i="3"/>
  <c r="Y119" i="3" s="1"/>
  <c r="W120" i="3"/>
  <c r="Y120" i="3" s="1"/>
  <c r="W121" i="3"/>
  <c r="Y121" i="3" s="1"/>
  <c r="W122" i="3"/>
  <c r="Y122" i="3" s="1"/>
  <c r="W123" i="3"/>
  <c r="Y123" i="3" s="1"/>
  <c r="W124" i="3"/>
  <c r="Y124" i="3" s="1"/>
  <c r="W125" i="3"/>
  <c r="Y125" i="3" s="1"/>
  <c r="W126" i="3"/>
  <c r="Y126" i="3" s="1"/>
  <c r="W127" i="3"/>
  <c r="Y127" i="3" s="1"/>
  <c r="W128" i="3"/>
  <c r="Y128" i="3" s="1"/>
  <c r="W129" i="3"/>
  <c r="Y129" i="3" s="1"/>
  <c r="W130" i="3"/>
  <c r="Y130" i="3" s="1"/>
  <c r="W131" i="3"/>
  <c r="Y131" i="3" s="1"/>
  <c r="W132" i="3"/>
  <c r="Y132" i="3" s="1"/>
  <c r="W133" i="3"/>
  <c r="Y133" i="3" s="1"/>
  <c r="W134" i="3"/>
  <c r="Y134" i="3" s="1"/>
  <c r="W135" i="3"/>
  <c r="Y135" i="3" s="1"/>
  <c r="W136" i="3"/>
  <c r="Y136" i="3" s="1"/>
  <c r="W137" i="3"/>
  <c r="Y137" i="3" s="1"/>
  <c r="W138" i="3"/>
  <c r="Y138" i="3" s="1"/>
  <c r="W139" i="3"/>
  <c r="Y139" i="3" s="1"/>
  <c r="W140" i="3"/>
  <c r="Y140" i="3" s="1"/>
  <c r="W141" i="3"/>
  <c r="Y141" i="3" s="1"/>
  <c r="W142" i="3"/>
  <c r="Y142" i="3" s="1"/>
  <c r="W143" i="3"/>
  <c r="Y143" i="3" s="1"/>
  <c r="W144" i="3"/>
  <c r="Y144" i="3" s="1"/>
  <c r="W145" i="3"/>
  <c r="Y145" i="3" s="1"/>
  <c r="W146" i="3"/>
  <c r="Y146" i="3" s="1"/>
  <c r="W147" i="3"/>
  <c r="Y147" i="3" s="1"/>
  <c r="W148" i="3"/>
  <c r="Y148" i="3" s="1"/>
  <c r="W149" i="3"/>
  <c r="Y149" i="3" s="1"/>
  <c r="W150" i="3"/>
  <c r="Y150" i="3" s="1"/>
  <c r="W151" i="3"/>
  <c r="Y151" i="3" s="1"/>
  <c r="W152" i="3"/>
  <c r="Y152" i="3" s="1"/>
  <c r="W153" i="3"/>
  <c r="Y153" i="3" s="1"/>
  <c r="W154" i="3"/>
  <c r="Y154" i="3" s="1"/>
  <c r="W155" i="3"/>
  <c r="Y155" i="3" s="1"/>
  <c r="W156" i="3"/>
  <c r="Y156" i="3" s="1"/>
  <c r="W157" i="3"/>
  <c r="Y157" i="3" s="1"/>
  <c r="W158" i="3"/>
  <c r="Y158" i="3" s="1"/>
  <c r="W159" i="3"/>
  <c r="Y159" i="3" s="1"/>
  <c r="W160" i="3"/>
  <c r="Y160" i="3" s="1"/>
  <c r="W161" i="3"/>
  <c r="Y161" i="3" s="1"/>
  <c r="W162" i="3"/>
  <c r="Y162" i="3" s="1"/>
  <c r="W163" i="3"/>
  <c r="Y163" i="3" s="1"/>
  <c r="W164" i="3"/>
  <c r="Y164" i="3" s="1"/>
  <c r="W165" i="3"/>
  <c r="Y165" i="3" s="1"/>
  <c r="W166" i="3"/>
  <c r="Y166" i="3" s="1"/>
  <c r="W167" i="3"/>
  <c r="Y167" i="3" s="1"/>
  <c r="W168" i="3"/>
  <c r="Y168" i="3" s="1"/>
  <c r="W169" i="3"/>
  <c r="Y169" i="3" s="1"/>
  <c r="W170" i="3"/>
  <c r="Y170" i="3" s="1"/>
  <c r="W171" i="3"/>
  <c r="Y171" i="3" s="1"/>
  <c r="W172" i="3"/>
  <c r="Y172" i="3" s="1"/>
  <c r="W173" i="3"/>
  <c r="Y173" i="3" s="1"/>
  <c r="W174" i="3"/>
  <c r="Y174" i="3" s="1"/>
  <c r="W175" i="3"/>
  <c r="Y175" i="3" s="1"/>
  <c r="W176" i="3"/>
  <c r="Y176" i="3" s="1"/>
  <c r="W177" i="3"/>
  <c r="Y177" i="3" s="1"/>
  <c r="W178" i="3"/>
  <c r="Y178" i="3" s="1"/>
  <c r="W179" i="3"/>
  <c r="Y179" i="3" s="1"/>
  <c r="W180" i="3"/>
  <c r="Y180" i="3" s="1"/>
  <c r="W181" i="3"/>
  <c r="Y181" i="3" s="1"/>
  <c r="W182" i="3"/>
  <c r="Y182" i="3" s="1"/>
  <c r="W183" i="3"/>
  <c r="Y183" i="3" s="1"/>
  <c r="W184" i="3"/>
  <c r="Y184" i="3" s="1"/>
  <c r="W185" i="3"/>
  <c r="Y185" i="3" s="1"/>
  <c r="W186" i="3"/>
  <c r="Y186" i="3" s="1"/>
  <c r="W187" i="3"/>
  <c r="Y187" i="3" s="1"/>
  <c r="W188" i="3"/>
  <c r="Y188" i="3" s="1"/>
  <c r="W189" i="3"/>
  <c r="Y189" i="3" s="1"/>
  <c r="W190" i="3"/>
  <c r="Y190" i="3" s="1"/>
  <c r="W191" i="3"/>
  <c r="Y191" i="3" s="1"/>
  <c r="W192" i="3"/>
  <c r="Y192" i="3" s="1"/>
  <c r="W193" i="3"/>
  <c r="Y193" i="3" s="1"/>
  <c r="W194" i="3"/>
  <c r="Y194" i="3" s="1"/>
  <c r="W195" i="3"/>
  <c r="Y195" i="3" s="1"/>
  <c r="W196" i="3"/>
  <c r="Y196" i="3" s="1"/>
  <c r="W197" i="3"/>
  <c r="Y197" i="3" s="1"/>
  <c r="W198" i="3"/>
  <c r="Y198" i="3" s="1"/>
  <c r="W199" i="3"/>
  <c r="Y199" i="3" s="1"/>
  <c r="W200" i="3"/>
  <c r="Y200" i="3" s="1"/>
  <c r="W201" i="3"/>
  <c r="Y201" i="3" s="1"/>
  <c r="W202" i="3"/>
  <c r="Y202" i="3" s="1"/>
  <c r="W203" i="3"/>
  <c r="Y203" i="3" s="1"/>
  <c r="W204" i="3"/>
  <c r="Y204" i="3" s="1"/>
  <c r="W205" i="3"/>
  <c r="Y205" i="3" s="1"/>
  <c r="W206" i="3"/>
  <c r="Y206" i="3" s="1"/>
  <c r="W207" i="3"/>
  <c r="Y207" i="3" s="1"/>
  <c r="W208" i="3"/>
  <c r="Y208" i="3" s="1"/>
  <c r="W209" i="3"/>
  <c r="Y209" i="3" s="1"/>
  <c r="W210" i="3"/>
  <c r="Y210" i="3" s="1"/>
  <c r="W211" i="3"/>
  <c r="Y211" i="3" s="1"/>
  <c r="W212" i="3"/>
  <c r="Y212" i="3" s="1"/>
  <c r="W213" i="3"/>
  <c r="Y213" i="3" s="1"/>
  <c r="W214" i="3"/>
  <c r="Y214" i="3" s="1"/>
  <c r="W215" i="3"/>
  <c r="Y215" i="3" s="1"/>
  <c r="W216" i="3"/>
  <c r="Y216" i="3" s="1"/>
  <c r="W217" i="3"/>
  <c r="Y217" i="3" s="1"/>
  <c r="W218" i="3"/>
  <c r="Y218" i="3" s="1"/>
  <c r="W219" i="3"/>
  <c r="Y219" i="3" s="1"/>
  <c r="W220" i="3"/>
  <c r="Y220" i="3" s="1"/>
  <c r="W221" i="3"/>
  <c r="Y221" i="3" s="1"/>
  <c r="W222" i="3"/>
  <c r="Y222" i="3" s="1"/>
  <c r="W223" i="3"/>
  <c r="Y223" i="3" s="1"/>
  <c r="W224" i="3"/>
  <c r="Y224" i="3" s="1"/>
  <c r="W225" i="3"/>
  <c r="Y225" i="3" s="1"/>
  <c r="W226" i="3"/>
  <c r="Y226" i="3" s="1"/>
  <c r="W227" i="3"/>
  <c r="Y227" i="3" s="1"/>
  <c r="W2" i="3"/>
  <c r="Y2" i="3" s="1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O224" i="3"/>
  <c r="X206" i="3"/>
  <c r="X205" i="3"/>
  <c r="X204" i="3"/>
  <c r="X203" i="3"/>
  <c r="X201" i="3"/>
  <c r="X202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5" i="3"/>
  <c r="X4" i="3"/>
  <c r="X3" i="3"/>
  <c r="X2" i="3"/>
  <c r="P800" i="2"/>
  <c r="P799" i="2"/>
  <c r="O800" i="2"/>
  <c r="O799" i="2"/>
  <c r="P798" i="2"/>
  <c r="P797" i="2"/>
  <c r="P796" i="2"/>
  <c r="P795" i="2"/>
  <c r="P794" i="2"/>
  <c r="P793" i="2"/>
  <c r="P792" i="2"/>
  <c r="P791" i="2"/>
  <c r="P790" i="2"/>
  <c r="P789" i="2"/>
  <c r="O790" i="2"/>
  <c r="O789" i="2"/>
  <c r="P788" i="2"/>
  <c r="P787" i="2"/>
  <c r="P786" i="2"/>
  <c r="P785" i="2"/>
  <c r="O252" i="2"/>
  <c r="O253" i="2"/>
  <c r="O262" i="2"/>
  <c r="O263" i="2"/>
  <c r="O783" i="2"/>
  <c r="O782" i="2"/>
  <c r="T742" i="2"/>
  <c r="T740" i="2"/>
  <c r="T738" i="2"/>
  <c r="T736" i="2"/>
  <c r="T734" i="2"/>
  <c r="T732" i="2"/>
  <c r="T730" i="2"/>
  <c r="T728" i="2"/>
  <c r="T726" i="2"/>
  <c r="T724" i="2"/>
  <c r="T722" i="2"/>
  <c r="T720" i="2"/>
  <c r="T718" i="2"/>
  <c r="O719" i="2"/>
  <c r="O792" i="2" s="1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18" i="2"/>
  <c r="O791" i="2" s="1"/>
  <c r="P781" i="2"/>
  <c r="P780" i="2"/>
  <c r="O747" i="2"/>
  <c r="O748" i="2"/>
  <c r="O749" i="2"/>
  <c r="O750" i="2"/>
  <c r="O751" i="2"/>
  <c r="O752" i="2"/>
  <c r="O753" i="2"/>
  <c r="O754" i="2"/>
  <c r="O755" i="2"/>
  <c r="O756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15" i="2"/>
  <c r="O794" i="2" s="1"/>
  <c r="O714" i="2"/>
  <c r="O793" i="2" s="1"/>
  <c r="S682" i="2"/>
  <c r="O595" i="2"/>
  <c r="O594" i="2"/>
  <c r="O277" i="2"/>
  <c r="O276" i="2"/>
  <c r="O273" i="2"/>
  <c r="O272" i="2"/>
  <c r="O271" i="2"/>
  <c r="O270" i="2"/>
  <c r="O269" i="2"/>
  <c r="O268" i="2"/>
  <c r="O267" i="2"/>
  <c r="O266" i="2"/>
  <c r="O261" i="2"/>
  <c r="O260" i="2"/>
  <c r="O259" i="2"/>
  <c r="O258" i="2"/>
  <c r="O257" i="2"/>
  <c r="O256" i="2"/>
  <c r="O251" i="2"/>
  <c r="O250" i="2"/>
  <c r="O249" i="2"/>
  <c r="O248" i="2"/>
  <c r="O247" i="2"/>
  <c r="O246" i="2"/>
  <c r="O245" i="2"/>
  <c r="O244" i="2"/>
  <c r="O243" i="2"/>
  <c r="O242" i="2"/>
  <c r="O239" i="2"/>
  <c r="O238" i="2"/>
  <c r="O237" i="2"/>
  <c r="O236" i="2"/>
  <c r="O235" i="2"/>
  <c r="O234" i="2"/>
  <c r="O233" i="2"/>
  <c r="O232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5" i="2"/>
  <c r="O104" i="2"/>
  <c r="O103" i="2"/>
  <c r="O102" i="2"/>
  <c r="O101" i="2"/>
  <c r="O100" i="2"/>
  <c r="O99" i="2"/>
  <c r="O98" i="2"/>
  <c r="O95" i="2"/>
  <c r="O94" i="2"/>
  <c r="O93" i="2"/>
  <c r="O92" i="2"/>
  <c r="O91" i="2"/>
  <c r="O90" i="2"/>
  <c r="O89" i="2"/>
  <c r="O88" i="2"/>
  <c r="O85" i="2"/>
  <c r="O84" i="2"/>
  <c r="O83" i="2"/>
  <c r="O82" i="2"/>
  <c r="O81" i="2"/>
  <c r="O80" i="2"/>
  <c r="O79" i="2"/>
  <c r="O78" i="2"/>
  <c r="O77" i="2"/>
  <c r="O76" i="2"/>
  <c r="O75" i="2"/>
  <c r="O74" i="2"/>
  <c r="O71" i="2"/>
  <c r="O70" i="2"/>
  <c r="O69" i="2"/>
  <c r="O68" i="2"/>
  <c r="O67" i="2"/>
  <c r="O66" i="2"/>
  <c r="O65" i="2"/>
  <c r="O64" i="2"/>
  <c r="O63" i="2"/>
  <c r="O62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39" i="2"/>
  <c r="O38" i="2"/>
  <c r="O37" i="2"/>
  <c r="O36" i="2"/>
  <c r="O35" i="2"/>
  <c r="O34" i="2"/>
  <c r="O33" i="2"/>
  <c r="O32" i="2"/>
  <c r="O27" i="2"/>
  <c r="O26" i="2"/>
  <c r="O25" i="2"/>
  <c r="O24" i="2"/>
  <c r="O23" i="2"/>
  <c r="O22" i="2"/>
  <c r="O21" i="2"/>
  <c r="O20" i="2"/>
  <c r="O19" i="2"/>
  <c r="O18" i="2"/>
  <c r="O15" i="2"/>
  <c r="O14" i="2"/>
  <c r="O13" i="2"/>
  <c r="O798" i="2" s="1"/>
  <c r="O12" i="2"/>
  <c r="O797" i="2" s="1"/>
  <c r="O11" i="2"/>
  <c r="O788" i="2" s="1"/>
  <c r="O10" i="2"/>
  <c r="O787" i="2" s="1"/>
  <c r="O9" i="2"/>
  <c r="O796" i="2" s="1"/>
  <c r="O8" i="2"/>
  <c r="O795" i="2" s="1"/>
  <c r="O785" i="2" l="1"/>
  <c r="O786" i="2"/>
  <c r="O781" i="2"/>
  <c r="O78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tc={89E793C7-88A8-4162-8BC8-5FD0C7BFDB53}</author>
    <author>tc={D0936E72-DC14-4E8F-B308-7E647E10FD5D}</author>
    <author>tc={87C26906-6702-4F57-A5BE-A1DF5F9FD806}</author>
    <author>tc={9EAFC2C3-7185-4D0A-9BAA-18E2BF09DCB2}</author>
    <author>tc={8F867233-4D1E-40FD-AF76-2D5327352219}</author>
    <author>tc={9A1E5F34-3720-40CA-91E1-8E7485382AFC}</author>
    <author>tc={79610E96-313D-48D8-9337-A0CE968BC03B}</author>
    <author>tc={6D2B1529-469D-447B-ABD9-FBC3BB81C052}</author>
    <author>tc={B014B086-C769-4693-955A-C44812DB26C8}</author>
    <author>tc={063DD136-1704-470E-9FA8-05D147A7F24E}</author>
  </authors>
  <commentList>
    <comment ref="I14" authorId="0" shapeId="0" xr:uid="{89E793C7-88A8-4162-8BC8-5FD0C7BFDB53}">
      <text>
        <t>[线程批注]
你的Excel版本可读取此线程批注; 但如果在更新版本的Excel中打开文件，则对批注所作的任何改动都将被删除。了解详细信息: https://go.microsoft.com/fwlink/?linkid=870924
注释:
    原始文献中只提到75岁以上分组信息，没有75岁以下的分组信息。</t>
      </text>
    </comment>
    <comment ref="I15" authorId="1" shapeId="0" xr:uid="{D0936E72-DC14-4E8F-B308-7E647E10FD5D}">
      <text>
        <t>[线程批注]
你的Excel版本可读取此线程批注; 但如果在更新版本的Excel中打开文件，则对批注所作的任何改动都将被删除。了解详细信息: https://go.microsoft.com/fwlink/?linkid=870924
注释:
    原始文献中只提到75岁以上分组信息，没有75岁以下的分组信息。</t>
      </text>
    </comment>
    <comment ref="I20" authorId="2" shapeId="0" xr:uid="{87C26906-6702-4F57-A5BE-A1DF5F9FD806}">
      <text>
        <t>[线程批注]
你的Excel版本可读取此线程批注; 但如果在更新版本的Excel中打开文件，则对批注所作的任何改动都将被删除。了解详细信息: https://go.microsoft.com/fwlink/?linkid=870924
注释:
    原始文献中只提到75岁以上分组信息，没有75岁以下的分组信息。</t>
      </text>
    </comment>
    <comment ref="I21" authorId="3" shapeId="0" xr:uid="{9EAFC2C3-7185-4D0A-9BAA-18E2BF09DCB2}">
      <text>
        <t>[线程批注]
你的Excel版本可读取此线程批注; 但如果在更新版本的Excel中打开文件，则对批注所作的任何改动都将被删除。了解详细信息: https://go.microsoft.com/fwlink/?linkid=870924
注释:
    原始文献中只提到75岁以上分组信息，没有75岁以下的分组信息。</t>
      </text>
    </comment>
    <comment ref="O42" authorId="4" shapeId="0" xr:uid="{8F867233-4D1E-40FD-AF76-2D5327352219}">
      <text>
        <t>[线程批注]
你的Excel版本可读取此线程批注; 但如果在更新版本的Excel中打开文件，则对批注所作的任何改动都将被删除。了解详细信息: https://go.microsoft.com/fwlink/?linkid=870924
注释:
    来自文章</t>
      </text>
    </comment>
    <comment ref="O43" authorId="5" shapeId="0" xr:uid="{9A1E5F34-3720-40CA-91E1-8E7485382AFC}">
      <text>
        <t>[线程批注]
你的Excel版本可读取此线程批注; 但如果在更新版本的Excel中打开文件，则对批注所作的任何改动都将被删除。了解详细信息: https://go.microsoft.com/fwlink/?linkid=870924
注释:
    来自文章</t>
      </text>
    </comment>
    <comment ref="S252" authorId="6" shapeId="0" xr:uid="{79610E96-313D-48D8-9337-A0CE968BC03B}">
      <text>
        <t>[线程批注]
你的Excel版本可读取此线程批注; 但如果在更新版本的Excel中打开文件，则对批注所作的任何改动都将被删除。了解详细信息: https://go.microsoft.com/fwlink/?linkid=870924
注释:
    原始采集的数据搞反了。这个数据挪到了Events RATIO IN SUBGROUP_OPTION + TREATMENT 列</t>
      </text>
    </comment>
    <comment ref="S253" authorId="7" shapeId="0" xr:uid="{6D2B1529-469D-447B-ABD9-FBC3BB81C052}">
      <text>
        <t>[线程批注]
你的Excel版本可读取此线程批注; 但如果在更新版本的Excel中打开文件，则对批注所作的任何改动都将被删除。了解详细信息: https://go.microsoft.com/fwlink/?linkid=870924
注释:
    原始采集的数据搞反了。这个数据挪到了Events RATIO IN SUBGROUP_OPTION + TREATMENT 列</t>
      </text>
    </comment>
    <comment ref="S262" authorId="8" shapeId="0" xr:uid="{B014B086-C769-4693-955A-C44812DB26C8}">
      <text>
        <t>[线程批注]
你的Excel版本可读取此线程批注; 但如果在更新版本的Excel中打开文件，则对批注所作的任何改动都将被删除。了解详细信息: https://go.microsoft.com/fwlink/?linkid=870924
注释:
    原始采集的数据搞反了。这个数据挪到了Events RATIO IN SUBGROUP_OPTION + TREATMENT 列</t>
      </text>
    </comment>
    <comment ref="S263" authorId="9" shapeId="0" xr:uid="{063DD136-1704-470E-9FA8-05D147A7F24E}">
      <text>
        <t>[线程批注]
你的Excel版本可读取此线程批注; 但如果在更新版本的Excel中打开文件，则对批注所作的任何改动都将被删除。了解详细信息: https://go.microsoft.com/fwlink/?linkid=870924
注释:
    原始采集的数据搞反了。这个数据挪到了Events RATIO IN SUBGROUP_OPTION + TREATMENT 列</t>
      </text>
    </comment>
  </commentList>
</comments>
</file>

<file path=xl/sharedStrings.xml><?xml version="1.0" encoding="utf-8"?>
<sst xmlns="http://schemas.openxmlformats.org/spreadsheetml/2006/main" count="10639" uniqueCount="402">
  <si>
    <t>study</t>
  </si>
  <si>
    <t>phase</t>
  </si>
  <si>
    <t>stage_included</t>
  </si>
  <si>
    <t>country</t>
  </si>
  <si>
    <t>n_total</t>
  </si>
  <si>
    <t>outcome</t>
  </si>
  <si>
    <t>n_ici</t>
  </si>
  <si>
    <t>n_ctrl</t>
  </si>
  <si>
    <t>p_value</t>
  </si>
  <si>
    <r>
      <t>工作表 4: </t>
    </r>
    <r>
      <rPr>
        <b/>
        <sz val="10"/>
        <color rgb="FF0F1115"/>
        <rFont val="Consolas"/>
        <family val="3"/>
      </rPr>
      <t>continuous</t>
    </r>
    <r>
      <rPr>
        <b/>
        <sz val="9"/>
        <color rgb="FF0F1115"/>
        <rFont val="Segoe UI"/>
        <family val="2"/>
      </rPr>
      <t> – 连续变量数据</t>
    </r>
  </si>
  <si>
    <t>mean_ici</t>
  </si>
  <si>
    <t>sd_ici</t>
  </si>
  <si>
    <t>mean_ctrl</t>
  </si>
  <si>
    <t>sd_ctrl</t>
  </si>
  <si>
    <r>
      <t>study</t>
    </r>
    <r>
      <rPr>
        <sz val="7"/>
        <color rgb="FF0F1115"/>
        <rFont val="Segoe UI"/>
        <family val="2"/>
      </rPr>
      <t>：文本，研究名称</t>
    </r>
  </si>
  <si>
    <r>
      <t>outcome</t>
    </r>
    <r>
      <rPr>
        <sz val="7"/>
        <color rgb="FF0F1115"/>
        <rFont val="Segoe UI"/>
        <family val="2"/>
      </rPr>
      <t>：文本，指标名称（如 "HbA1c change", "QoL score"）</t>
    </r>
  </si>
  <si>
    <r>
      <t>mean_ici</t>
    </r>
    <r>
      <rPr>
        <sz val="7"/>
        <color rgb="FF0F1115"/>
        <rFont val="Segoe UI"/>
        <family val="2"/>
      </rPr>
      <t>：数值，免疫治疗组均值</t>
    </r>
  </si>
  <si>
    <r>
      <t>sd_ici</t>
    </r>
    <r>
      <rPr>
        <sz val="7"/>
        <color rgb="FF0F1115"/>
        <rFont val="Segoe UI"/>
        <family val="2"/>
      </rPr>
      <t>：数值，免疫治疗组标准差</t>
    </r>
  </si>
  <si>
    <r>
      <t>n_ici</t>
    </r>
    <r>
      <rPr>
        <sz val="7"/>
        <color rgb="FF0F1115"/>
        <rFont val="Segoe UI"/>
        <family val="2"/>
      </rPr>
      <t>：整数，免疫治疗组人数</t>
    </r>
  </si>
  <si>
    <r>
      <t>mean_ctrl</t>
    </r>
    <r>
      <rPr>
        <sz val="7"/>
        <color rgb="FF0F1115"/>
        <rFont val="Segoe UI"/>
        <family val="2"/>
      </rPr>
      <t>：数值，对照组均值</t>
    </r>
  </si>
  <si>
    <r>
      <t>sd_ctrl</t>
    </r>
    <r>
      <rPr>
        <sz val="7"/>
        <color rgb="FF0F1115"/>
        <rFont val="Segoe UI"/>
        <family val="2"/>
      </rPr>
      <t>：数值，对照组标准差</t>
    </r>
  </si>
  <si>
    <r>
      <t>n_ctrl</t>
    </r>
    <r>
      <rPr>
        <sz val="7"/>
        <color rgb="FF0F1115"/>
        <rFont val="Segoe UI"/>
        <family val="2"/>
      </rPr>
      <t>：整数，对照组人数</t>
    </r>
  </si>
  <si>
    <t>CheckMate 816</t>
  </si>
  <si>
    <t>III</t>
  </si>
  <si>
    <t>KEYNOTE-671</t>
  </si>
  <si>
    <t>study</t>
    <phoneticPr fontId="7" type="noConversion"/>
  </si>
  <si>
    <t>trial</t>
    <phoneticPr fontId="7" type="noConversion"/>
  </si>
  <si>
    <t>d</t>
    <phoneticPr fontId="7" type="noConversion"/>
  </si>
  <si>
    <t>n</t>
    <phoneticPr fontId="7" type="noConversion"/>
  </si>
  <si>
    <t>YES</t>
    <phoneticPr fontId="7" type="noConversion"/>
  </si>
  <si>
    <t>20260112_NO_DIFF</t>
    <phoneticPr fontId="7" type="noConversion"/>
  </si>
  <si>
    <t>NEOTORCH</t>
  </si>
  <si>
    <t>Binary</t>
  </si>
  <si>
    <t>TreatmentRelatedAdverseEvents</t>
  </si>
  <si>
    <t>Alopecia</t>
  </si>
  <si>
    <t>All</t>
    <phoneticPr fontId="7" type="noConversion"/>
  </si>
  <si>
    <t>Grade moreEqualThan_3</t>
    <phoneticPr fontId="7" type="noConversion"/>
  </si>
  <si>
    <t>Overall</t>
    <phoneticPr fontId="7" type="noConversion"/>
  </si>
  <si>
    <t>Toripalimab_Periop</t>
  </si>
  <si>
    <t>Grade moreEqualThan_3</t>
  </si>
  <si>
    <t>RATIONALE-315</t>
  </si>
  <si>
    <t>Overall</t>
  </si>
  <si>
    <t>Tislelizumab_Periop</t>
  </si>
  <si>
    <t>EQUAL</t>
    <phoneticPr fontId="7" type="noConversion"/>
  </si>
  <si>
    <t>Constipation</t>
  </si>
  <si>
    <t>NO</t>
    <phoneticPr fontId="7" type="noConversion"/>
  </si>
  <si>
    <t>AEGEAN</t>
  </si>
  <si>
    <t>PathologicalCompleteRespons</t>
  </si>
  <si>
    <t>Assessed by blinded, independent pathological review</t>
    <phoneticPr fontId="7" type="noConversion"/>
  </si>
  <si>
    <t>Durvaluma_Periop</t>
  </si>
  <si>
    <t>PathologicalCompleteRespons</t>
    <phoneticPr fontId="7" type="noConversion"/>
  </si>
  <si>
    <t>Nivolumab_Neoadj</t>
  </si>
  <si>
    <t>CheckMate 77T</t>
  </si>
  <si>
    <t>Nivolumab_Periop</t>
  </si>
  <si>
    <t>lessThan_65yr</t>
  </si>
  <si>
    <t>MajorPathologicResponse</t>
    <phoneticPr fontId="7" type="noConversion"/>
  </si>
  <si>
    <t>moreEqualThan_65yr</t>
  </si>
  <si>
    <t>Age</t>
  </si>
  <si>
    <t>Sex</t>
  </si>
  <si>
    <t>Female</t>
  </si>
  <si>
    <t>Pembrolizumab_Periop</t>
  </si>
  <si>
    <t>REMOVED_PathologicalCompleteRespons</t>
    <phoneticPr fontId="7" type="noConversion"/>
  </si>
  <si>
    <t>RATIONALE-315</t>
    <phoneticPr fontId="7" type="noConversion"/>
  </si>
  <si>
    <t>Male</t>
  </si>
  <si>
    <t>ECOG performance-status score</t>
  </si>
  <si>
    <t>Race</t>
  </si>
  <si>
    <t>Asian</t>
  </si>
  <si>
    <t>Non-Asian</t>
  </si>
  <si>
    <t>Geographic region</t>
  </si>
  <si>
    <t>Asia</t>
  </si>
  <si>
    <t>Europe</t>
  </si>
  <si>
    <t>North America</t>
  </si>
  <si>
    <t>South America</t>
  </si>
  <si>
    <t>Smoking status</t>
  </si>
  <si>
    <t>Current smoker</t>
  </si>
  <si>
    <t>Former smoker</t>
  </si>
  <si>
    <t>Never smoked</t>
  </si>
  <si>
    <t>Baseline disease stage</t>
  </si>
  <si>
    <t>II</t>
    <phoneticPr fontId="7" type="noConversion"/>
  </si>
  <si>
    <t>Histologic tumor type</t>
  </si>
  <si>
    <t>Nonsquamous</t>
  </si>
  <si>
    <t>Squamous</t>
  </si>
  <si>
    <t>IB or II</t>
  </si>
  <si>
    <t>II</t>
  </si>
  <si>
    <t>IIIA</t>
  </si>
  <si>
    <t>IIIB</t>
  </si>
  <si>
    <t>N2 multi</t>
  </si>
  <si>
    <t>AdverseEvents</t>
    <phoneticPr fontId="7" type="noConversion"/>
  </si>
  <si>
    <t>All</t>
  </si>
  <si>
    <t>Grade3or4</t>
    <phoneticPr fontId="7" type="noConversion"/>
  </si>
  <si>
    <t>CheckMate 77T</t>
    <phoneticPr fontId="7" type="noConversion"/>
  </si>
  <si>
    <t>AnyGrade</t>
  </si>
  <si>
    <t>NeoadjuvantPeriod</t>
    <phoneticPr fontId="7" type="noConversion"/>
  </si>
  <si>
    <t>AdjuvantPeriod</t>
    <phoneticPr fontId="7" type="noConversion"/>
  </si>
  <si>
    <t>AEGEAN</t>
    <phoneticPr fontId="7" type="noConversion"/>
  </si>
  <si>
    <t>Durvalumab_Periop</t>
  </si>
  <si>
    <t>Grade3or4</t>
  </si>
  <si>
    <t>&gt;=1 in original paper</t>
    <phoneticPr fontId="7" type="noConversion"/>
  </si>
  <si>
    <t>AnyGrade</t>
    <phoneticPr fontId="7" type="noConversion"/>
  </si>
  <si>
    <t>Current or former smoker</t>
  </si>
  <si>
    <t>N2 single</t>
  </si>
  <si>
    <t>PD-L1 expression level</t>
  </si>
  <si>
    <t>lessThan_1_Percent</t>
  </si>
  <si>
    <t>moreEqualThan_50_Percent</t>
  </si>
  <si>
    <t>1-49_Percent</t>
  </si>
  <si>
    <t>moreEqualThan_1_Percent</t>
  </si>
  <si>
    <t>TMB</t>
  </si>
  <si>
    <t>lessThan_12.3 mutations/megabase</t>
  </si>
  <si>
    <t>moreEqualThan_12.3 mutations/megabase</t>
  </si>
  <si>
    <t>Type of platinum therapy</t>
  </si>
  <si>
    <t>Carboplatin</t>
  </si>
  <si>
    <t>Cisplatin</t>
  </si>
  <si>
    <t>EGFR-mutation positive_NO_SUBGROUP_TOTAL_DATA</t>
    <phoneticPr fontId="7" type="noConversion"/>
  </si>
  <si>
    <t>Yes</t>
  </si>
  <si>
    <t>REMOVE_AdverseEvents</t>
    <phoneticPr fontId="7" type="noConversion"/>
  </si>
  <si>
    <t>LeadingToDiscontinuationOfTreatment</t>
  </si>
  <si>
    <t>Serious</t>
    <phoneticPr fontId="7" type="noConversion"/>
  </si>
  <si>
    <t>TreatmentRelatedAdverseEvents</t>
    <phoneticPr fontId="7" type="noConversion"/>
  </si>
  <si>
    <t>LeadingToDiscontinuation</t>
  </si>
  <si>
    <t>Death</t>
    <phoneticPr fontId="7" type="noConversion"/>
  </si>
  <si>
    <t>SurgeryRelatedAdverseEvents</t>
    <phoneticPr fontId="7" type="noConversion"/>
  </si>
  <si>
    <t>AdverseEvents</t>
  </si>
  <si>
    <t>LeadingToTreatmentDiscontinuation</t>
  </si>
  <si>
    <t>NeoadjuvantPeriod</t>
  </si>
  <si>
    <t>AdjuvantPeriod</t>
  </si>
  <si>
    <t>Serious</t>
  </si>
  <si>
    <t>Death</t>
  </si>
  <si>
    <t>LeadingToTreatmentDiscontinuation</t>
    <phoneticPr fontId="7" type="noConversion"/>
  </si>
  <si>
    <t>LeadingToCancellationOfSurgery</t>
    <phoneticPr fontId="7" type="noConversion"/>
  </si>
  <si>
    <t>Nausea</t>
  </si>
  <si>
    <t>Neutrophil count decreased</t>
  </si>
  <si>
    <t>Anaemia</t>
  </si>
  <si>
    <t>White blood cell count decreased</t>
  </si>
  <si>
    <t>Fatigue</t>
  </si>
  <si>
    <t>Decreased appetite</t>
  </si>
  <si>
    <t>Vomiting</t>
  </si>
  <si>
    <t>Platelet count decreased</t>
  </si>
  <si>
    <t>Blood creatinine increased</t>
  </si>
  <si>
    <t>Diarrhoea</t>
  </si>
  <si>
    <t>Alanine aminotransferase increased</t>
  </si>
  <si>
    <t>Rash</t>
  </si>
  <si>
    <t>Asthenia</t>
  </si>
  <si>
    <t>Anemia</t>
  </si>
  <si>
    <t>Neutropenia</t>
  </si>
  <si>
    <t>Leukopenia</t>
  </si>
  <si>
    <t>Cough</t>
  </si>
  <si>
    <t>Level increased (Alanine aminotransferase)</t>
  </si>
  <si>
    <t>Level increased (Aspartate aminotransferase)</t>
  </si>
  <si>
    <t>Hypoproteinemia</t>
  </si>
  <si>
    <t>Arrhythmia</t>
  </si>
  <si>
    <t>Thrombocytopenia</t>
  </si>
  <si>
    <t>Pneumonia</t>
  </si>
  <si>
    <t>Incision site pain</t>
  </si>
  <si>
    <t>Neuropathy (peripheral)</t>
  </si>
  <si>
    <t>Pyrexia</t>
  </si>
  <si>
    <t>Hypothyroidism</t>
  </si>
  <si>
    <t>Hyperglycemia</t>
  </si>
  <si>
    <t>White blood cell count increased</t>
  </si>
  <si>
    <t>Hyperuricemia</t>
  </si>
  <si>
    <t>Wound complication</t>
  </si>
  <si>
    <t>Chest pain (noncardiac)</t>
  </si>
  <si>
    <t>Weight increased</t>
  </si>
  <si>
    <t>Pneumonitis</t>
  </si>
  <si>
    <t>Decreased pulmonary function</t>
  </si>
  <si>
    <t>Upper respiratory tract infection</t>
  </si>
  <si>
    <t>Dyspnea</t>
  </si>
  <si>
    <t>Hemoptysis</t>
  </si>
  <si>
    <t>Restrictive pulmonary disease</t>
  </si>
  <si>
    <t xml:space="preserve">Assessed by local pathologists </t>
  </si>
  <si>
    <t>LeadingToDelayOfSurgery</t>
    <phoneticPr fontId="7" type="noConversion"/>
  </si>
  <si>
    <t>Aspartate aminotransferase increased</t>
  </si>
  <si>
    <t>Hypoaesthesia</t>
  </si>
  <si>
    <t>Arthralgia</t>
  </si>
  <si>
    <t>Hyponatraemia</t>
  </si>
  <si>
    <t>Pain in extremity</t>
  </si>
  <si>
    <t>ImmuneMediated</t>
  </si>
  <si>
    <t>SurgeryRelatedAdverseEvents</t>
  </si>
  <si>
    <t>removed</t>
    <phoneticPr fontId="7" type="noConversion"/>
  </si>
  <si>
    <t>removed_reason</t>
    <phoneticPr fontId="7" type="noConversion"/>
  </si>
  <si>
    <t>study_id</t>
    <phoneticPr fontId="7" type="noConversion"/>
  </si>
  <si>
    <t>pub_year</t>
    <phoneticPr fontId="7" type="noConversion"/>
  </si>
  <si>
    <t>outcome_type</t>
    <phoneticPr fontId="7" type="noConversion"/>
  </si>
  <si>
    <t>outcome</t>
    <phoneticPr fontId="7" type="noConversion"/>
  </si>
  <si>
    <t>grade</t>
    <phoneticPr fontId="7" type="noConversion"/>
  </si>
  <si>
    <t>period</t>
    <phoneticPr fontId="7" type="noConversion"/>
  </si>
  <si>
    <t>treatment</t>
    <phoneticPr fontId="7" type="noConversion"/>
  </si>
  <si>
    <t>comment_2</t>
    <phoneticPr fontId="7" type="noConversion"/>
  </si>
  <si>
    <t>comment_3</t>
    <phoneticPr fontId="7" type="noConversion"/>
  </si>
  <si>
    <t>aegean_comments</t>
    <phoneticPr fontId="7" type="noConversion"/>
  </si>
  <si>
    <t>aegean_subgroup_total</t>
    <phoneticPr fontId="7" type="noConversion"/>
  </si>
  <si>
    <t>checkmate_816_comments_subgroup_total</t>
    <phoneticPr fontId="7" type="noConversion"/>
  </si>
  <si>
    <t>pcr_rate_checkmate816</t>
    <phoneticPr fontId="7" type="noConversion"/>
  </si>
  <si>
    <t>Chemotherapy_ctrl</t>
  </si>
  <si>
    <t>subgroup</t>
    <phoneticPr fontId="7" type="noConversion"/>
  </si>
  <si>
    <t>subgroup_option</t>
    <phoneticPr fontId="7" type="noConversion"/>
  </si>
  <si>
    <t>CheckMate 77T</t>
    <phoneticPr fontId="6" type="noConversion"/>
  </si>
  <si>
    <t>CheckMate 816</t>
    <phoneticPr fontId="6" type="noConversion"/>
  </si>
  <si>
    <t>CheckMate 816</t>
    <phoneticPr fontId="7" type="noConversion"/>
  </si>
  <si>
    <t>TD-FOREKNOW</t>
    <phoneticPr fontId="6" type="noConversion"/>
  </si>
  <si>
    <t>phase 2</t>
  </si>
  <si>
    <t>phase 3</t>
  </si>
  <si>
    <t>phase 3</t>
    <phoneticPr fontId="6" type="noConversion"/>
  </si>
  <si>
    <t>treatment</t>
    <phoneticPr fontId="6" type="noConversion"/>
  </si>
  <si>
    <t>Binary</t>
    <phoneticPr fontId="7" type="noConversion"/>
  </si>
  <si>
    <t>Camrelizumab</t>
    <phoneticPr fontId="6" type="noConversion"/>
  </si>
  <si>
    <t>NO</t>
    <phoneticPr fontId="7" type="noConversion"/>
  </si>
  <si>
    <t>NADIM-II</t>
    <phoneticPr fontId="6" type="noConversion"/>
  </si>
  <si>
    <t>phase 2</t>
    <phoneticPr fontId="6" type="noConversion"/>
  </si>
  <si>
    <t>Nivolumab</t>
    <phoneticPr fontId="6" type="noConversion"/>
  </si>
  <si>
    <t>Nivolumab_Periop</t>
    <phoneticPr fontId="7" type="noConversion"/>
  </si>
  <si>
    <t>Overall</t>
    <phoneticPr fontId="7" type="noConversion"/>
  </si>
  <si>
    <t>Camrelizumab_Periop</t>
  </si>
  <si>
    <t>trial</t>
    <phoneticPr fontId="6" type="noConversion"/>
  </si>
  <si>
    <t>/</t>
    <phoneticPr fontId="7" type="noConversion"/>
  </si>
  <si>
    <t>Adenocarcinoma</t>
    <phoneticPr fontId="7" type="noConversion"/>
  </si>
  <si>
    <t xml:space="preserve"> data_cutoff_date</t>
    <phoneticPr fontId="7" type="noConversion"/>
  </si>
  <si>
    <t>paperless_ngx_docid</t>
    <phoneticPr fontId="7" type="noConversion"/>
  </si>
  <si>
    <t>&gt;25</t>
  </si>
  <si>
    <t>n.d.</t>
  </si>
  <si>
    <t>N0-N1</t>
  </si>
  <si>
    <t>N2</t>
  </si>
  <si>
    <t>≤25</t>
  </si>
  <si>
    <t>N2 simple</t>
  </si>
  <si>
    <t>N2 multiple</t>
  </si>
  <si>
    <t>Body Mass Index</t>
  </si>
  <si>
    <t>PD-L1 expression level</t>
    <phoneticPr fontId="7" type="noConversion"/>
  </si>
  <si>
    <t>Never smoked</t>
    <phoneticPr fontId="7" type="noConversion"/>
  </si>
  <si>
    <t>N2_Node stage</t>
  </si>
  <si>
    <t>N2_Node stage</t>
    <phoneticPr fontId="7" type="noConversion"/>
  </si>
  <si>
    <t>All_Node stage</t>
  </si>
  <si>
    <t>lessThan_65yr</t>
    <phoneticPr fontId="7" type="noConversion"/>
  </si>
  <si>
    <t>Nivolumab_Periop</t>
    <phoneticPr fontId="7" type="noConversion"/>
  </si>
  <si>
    <t>Chemotherapy_ctrl</t>
    <phoneticPr fontId="7" type="noConversion"/>
  </si>
  <si>
    <t>+</t>
  </si>
  <si>
    <t>-</t>
  </si>
  <si>
    <t>数据未提供</t>
  </si>
  <si>
    <t>PD-L1 expression level_Without_SUBGROUP_Patients_NUMBER</t>
    <phoneticPr fontId="6" type="noConversion"/>
  </si>
  <si>
    <t>Age_Without_SUBGROUP_Patients_NUMBER</t>
    <phoneticPr fontId="7" type="noConversion"/>
  </si>
  <si>
    <t>Event ratio in Subgroup_option+treatment</t>
    <phoneticPr fontId="6" type="noConversion"/>
  </si>
  <si>
    <t>Total number of Events in subgroup_option</t>
    <phoneticPr fontId="7" type="noConversion"/>
  </si>
  <si>
    <t>Current or former smoker</t>
    <phoneticPr fontId="7" type="noConversion"/>
  </si>
  <si>
    <t>Nonsquamous</t>
    <phoneticPr fontId="7" type="noConversion"/>
  </si>
  <si>
    <t>Total Number of Patients in Subgroup</t>
    <phoneticPr fontId="7" type="noConversion"/>
  </si>
  <si>
    <t>subgroup_option_source</t>
    <phoneticPr fontId="7" type="noConversion"/>
  </si>
  <si>
    <t>study_report</t>
    <phoneticPr fontId="7" type="noConversion"/>
  </si>
  <si>
    <t>synthetic</t>
    <phoneticPr fontId="7" type="noConversion"/>
  </si>
  <si>
    <t>X</t>
    <phoneticPr fontId="7" type="noConversion"/>
  </si>
  <si>
    <t>PD-L1 expression level_Without_SUBGROUP_Patients_NUMBER</t>
    <phoneticPr fontId="7" type="noConversion"/>
  </si>
  <si>
    <t>moreEqual</t>
    <phoneticPr fontId="7" type="noConversion"/>
  </si>
  <si>
    <t>moreEqualThan_1_Percent</t>
    <phoneticPr fontId="7" type="noConversion"/>
  </si>
  <si>
    <t>Neoadjuvant_cycles</t>
  </si>
  <si>
    <t>Neoadjuvant_cycles</t>
    <phoneticPr fontId="7" type="noConversion"/>
  </si>
  <si>
    <t>Overall</t>
    <phoneticPr fontId="7" type="noConversion"/>
  </si>
  <si>
    <t>3 Cycles</t>
    <phoneticPr fontId="7" type="noConversion"/>
  </si>
  <si>
    <t>4 Cycles</t>
    <phoneticPr fontId="7" type="noConversion"/>
  </si>
  <si>
    <t>treat1</t>
  </si>
  <si>
    <t>treat2</t>
    <phoneticPr fontId="7" type="noConversion"/>
  </si>
  <si>
    <t>hr</t>
    <phoneticPr fontId="7" type="noConversion"/>
  </si>
  <si>
    <t>hr_lci</t>
    <phoneticPr fontId="7" type="noConversion"/>
  </si>
  <si>
    <t>hr_uci</t>
    <phoneticPr fontId="7" type="noConversion"/>
  </si>
  <si>
    <t>te</t>
    <phoneticPr fontId="7" type="noConversion"/>
  </si>
  <si>
    <t>se_te</t>
    <phoneticPr fontId="7" type="noConversion"/>
  </si>
  <si>
    <t>n1</t>
    <phoneticPr fontId="7" type="noConversion"/>
  </si>
  <si>
    <t>n2</t>
    <phoneticPr fontId="7" type="noConversion"/>
  </si>
  <si>
    <t>total_population</t>
    <phoneticPr fontId="7" type="noConversion"/>
  </si>
  <si>
    <t>comments</t>
    <phoneticPr fontId="7" type="noConversion"/>
  </si>
  <si>
    <t>publication1</t>
    <phoneticPr fontId="7" type="noConversion"/>
  </si>
  <si>
    <t>publication2</t>
    <phoneticPr fontId="7" type="noConversion"/>
  </si>
  <si>
    <t>Survival</t>
    <phoneticPr fontId="7" type="noConversion"/>
  </si>
  <si>
    <t>OverallSurvival</t>
    <phoneticPr fontId="7" type="noConversion"/>
  </si>
  <si>
    <t>checkmate816.2022</t>
    <phoneticPr fontId="7" type="noConversion"/>
  </si>
  <si>
    <t>checkmate816.2023</t>
  </si>
  <si>
    <t>White</t>
  </si>
  <si>
    <t>Black</t>
  </si>
  <si>
    <t>&lt;1%</t>
  </si>
  <si>
    <t>≥1%</t>
    <phoneticPr fontId="7" type="noConversion"/>
  </si>
  <si>
    <t>1–49%</t>
  </si>
  <si>
    <t>≥50%</t>
  </si>
  <si>
    <t>Type of platinum therapy</t>
    <phoneticPr fontId="7" type="noConversion"/>
  </si>
  <si>
    <t>EventFreeSurvival</t>
    <phoneticPr fontId="7" type="noConversion"/>
  </si>
  <si>
    <t>Age</t>
    <phoneticPr fontId="7" type="noConversion"/>
  </si>
  <si>
    <t>≥1%</t>
  </si>
  <si>
    <t>1-49%</t>
  </si>
  <si>
    <t>&lt;12.3 mutations/megabase</t>
  </si>
  <si>
    <t>≥12.3 mutations/megabase</t>
  </si>
  <si>
    <t>Node stage</t>
  </si>
  <si>
    <t>N0</t>
  </si>
  <si>
    <t>N1</t>
  </si>
  <si>
    <t>N2_Single-station</t>
  </si>
  <si>
    <t>N2_Multistation</t>
  </si>
  <si>
    <t>&lt;1%</t>
    <phoneticPr fontId="7" type="noConversion"/>
  </si>
  <si>
    <t>原文缺失数据</t>
    <phoneticPr fontId="7" type="noConversion"/>
  </si>
  <si>
    <t>EGFR-mutation positive</t>
    <phoneticPr fontId="7" type="noConversion"/>
  </si>
  <si>
    <t>来自附录</t>
    <phoneticPr fontId="7" type="noConversion"/>
  </si>
  <si>
    <t>All others</t>
  </si>
  <si>
    <t>Geographic region</t>
    <phoneticPr fontId="7" type="noConversion"/>
  </si>
  <si>
    <t>East Asia</t>
  </si>
  <si>
    <t>Not east Asia</t>
  </si>
  <si>
    <t>Current</t>
  </si>
  <si>
    <t>Former</t>
  </si>
  <si>
    <t>Never</t>
  </si>
  <si>
    <t>Node stage</t>
    <phoneticPr fontId="7" type="noConversion"/>
  </si>
  <si>
    <t>IIA</t>
  </si>
  <si>
    <t>IIB</t>
  </si>
  <si>
    <t>Clinical disease and nodal status</t>
    <phoneticPr fontId="7" type="noConversion"/>
  </si>
  <si>
    <t>III N2</t>
  </si>
  <si>
    <t>Clinical disease and nodal status</t>
  </si>
  <si>
    <t>III non-N2</t>
  </si>
  <si>
    <t>Non-squamous</t>
  </si>
  <si>
    <t>&lt;50%</t>
  </si>
  <si>
    <t>EGFR-mutation positive</t>
  </si>
  <si>
    <t>No</t>
  </si>
  <si>
    <t>Unknown</t>
  </si>
  <si>
    <t>ALK translocation</t>
  </si>
  <si>
    <t>PahologicalCompleteResponse</t>
    <phoneticPr fontId="7" type="noConversion"/>
  </si>
  <si>
    <t>Yes</t>
    <phoneticPr fontId="7" type="noConversion"/>
  </si>
  <si>
    <t>No</t>
    <phoneticPr fontId="7" type="noConversion"/>
  </si>
  <si>
    <t>DiseaseFreeSurvivalmAmongPatientsWhoUnderwentSurgery</t>
    <phoneticPr fontId="7" type="noConversion"/>
  </si>
  <si>
    <t>AssessedbyIndependentReviewCommittee</t>
    <phoneticPr fontId="7" type="noConversion"/>
  </si>
  <si>
    <t>AssessedbyInvestigator</t>
    <phoneticPr fontId="7" type="noConversion"/>
  </si>
  <si>
    <t>IIIA</t>
    <phoneticPr fontId="7" type="noConversion"/>
  </si>
  <si>
    <t>database_lock</t>
    <phoneticPr fontId="7" type="noConversion"/>
  </si>
  <si>
    <t>median_follow_up_months</t>
    <phoneticPr fontId="7" type="noConversion"/>
  </si>
  <si>
    <t>第一篇文章</t>
    <phoneticPr fontId="7" type="noConversion"/>
  </si>
  <si>
    <t>数据已经更新</t>
    <phoneticPr fontId="7" type="noConversion"/>
  </si>
  <si>
    <t>paper_free_access_url</t>
    <phoneticPr fontId="7" type="noConversion"/>
  </si>
  <si>
    <t>3年  840 update 在ESMO</t>
    <phoneticPr fontId="7" type="noConversion"/>
  </si>
  <si>
    <t>https://www.jto.org/article/S1556-0864(23)00338-6/fulltext</t>
    <phoneticPr fontId="7" type="noConversion"/>
  </si>
  <si>
    <t>pubmed_id</t>
    <phoneticPr fontId="7" type="noConversion"/>
  </si>
  <si>
    <t>stratified</t>
    <phoneticPr fontId="7" type="noConversion"/>
  </si>
  <si>
    <t>未分层的overall</t>
    <phoneticPr fontId="7" type="noConversion"/>
  </si>
  <si>
    <t>confidence_interval_percent</t>
    <phoneticPr fontId="7" type="noConversion"/>
  </si>
  <si>
    <t>z_value</t>
    <phoneticPr fontId="7" type="noConversion"/>
  </si>
  <si>
    <t>目前判定下来是数据采集错误</t>
    <phoneticPr fontId="7" type="noConversion"/>
  </si>
  <si>
    <t>No</t>
    <phoneticPr fontId="7" type="noConversion"/>
  </si>
  <si>
    <t>unstratified/为分层的数据</t>
    <phoneticPr fontId="7" type="noConversion"/>
  </si>
  <si>
    <t>median_duration_of_followup</t>
    <phoneticPr fontId="7" type="noConversion"/>
  </si>
  <si>
    <t>analysi</t>
  </si>
  <si>
    <t xml:space="preserve"> interim_analysis</t>
    <phoneticPr fontId="7" type="noConversion"/>
  </si>
  <si>
    <t>Yes</t>
    <phoneticPr fontId="7" type="noConversion"/>
  </si>
  <si>
    <t>Chemotherapy_ctrl</t>
    <phoneticPr fontId="7" type="noConversion"/>
  </si>
  <si>
    <t>NO</t>
    <phoneticPr fontId="7" type="noConversion"/>
  </si>
  <si>
    <t>http://localhost:8000/documents/1848/details</t>
    <phoneticPr fontId="7" type="noConversion"/>
  </si>
  <si>
    <t>NADIM-II</t>
  </si>
  <si>
    <t>Survival</t>
  </si>
  <si>
    <t>EventFreeSurvival</t>
  </si>
  <si>
    <t>BMI</t>
  </si>
  <si>
    <t>鈮?5</t>
  </si>
  <si>
    <t>Smoking Status</t>
  </si>
  <si>
    <t>Never or former smoker</t>
  </si>
  <si>
    <t>Smoker</t>
  </si>
  <si>
    <t>Surgery</t>
  </si>
  <si>
    <t>Histology</t>
  </si>
  <si>
    <t>Clinical N</t>
  </si>
  <si>
    <t>Clinical T</t>
  </si>
  <si>
    <t>T1-3</t>
  </si>
  <si>
    <t>T4</t>
  </si>
  <si>
    <t>- (&lt;1%)</t>
  </si>
  <si>
    <t>Pathological response</t>
  </si>
  <si>
    <t>Complete</t>
  </si>
  <si>
    <t>Inf</t>
  </si>
  <si>
    <t>Incomplete + major</t>
  </si>
  <si>
    <t>NO</t>
  </si>
  <si>
    <t>https://www.nejm.org/doi/full/10.1056/NEJMoa2215530</t>
    <phoneticPr fontId="6" type="noConversion"/>
  </si>
  <si>
    <t>https://www.nejm.org/doi/full/10.1056/NEJMoa2215530</t>
  </si>
  <si>
    <t>PD-L1 expression level</t>
    <phoneticPr fontId="7" type="noConversion"/>
  </si>
  <si>
    <t>moreEqualThan_65yr</t>
    <phoneticPr fontId="7" type="noConversion"/>
  </si>
  <si>
    <t>pubmed_id</t>
    <phoneticPr fontId="6" type="noConversion"/>
  </si>
  <si>
    <t>full_text_url</t>
    <phoneticPr fontId="6" type="noConversion"/>
  </si>
  <si>
    <t>https://www.nejm.org/doi/pdf/10.1056/NEJMoa2302983</t>
  </si>
  <si>
    <t>data_analysis_stage</t>
    <phoneticPr fontId="6" type="noConversion"/>
  </si>
  <si>
    <t>first_interim</t>
    <phoneticPr fontId="6" type="noConversion"/>
  </si>
  <si>
    <t>暂时</t>
    <phoneticPr fontId="7" type="noConversion"/>
  </si>
  <si>
    <t>Other</t>
  </si>
  <si>
    <t>Pathological stage</t>
  </si>
  <si>
    <t>I</t>
  </si>
  <si>
    <t>Histologic features</t>
  </si>
  <si>
    <t>PD-L1 TPS (50% cutoff)</t>
  </si>
  <si>
    <t>PD-L1 TPS (1% cutoff)</t>
  </si>
  <si>
    <t>PD-L1 TPS</t>
  </si>
  <si>
    <t>EGFR mutation</t>
  </si>
  <si>
    <t>tbd</t>
  </si>
  <si>
    <t>NO</t>
    <phoneticPr fontId="7" type="noConversion"/>
  </si>
  <si>
    <t>moreEqualThan_65yr</t>
    <phoneticPr fontId="7" type="noConversion"/>
  </si>
  <si>
    <t>KEYNOTE-671</t>
    <phoneticPr fontId="6" type="noConversion"/>
  </si>
  <si>
    <t>second_interim</t>
    <phoneticPr fontId="6" type="noConversion"/>
  </si>
  <si>
    <t>median_duration_of_followup_in_months</t>
    <phoneticPr fontId="6" type="noConversion"/>
  </si>
  <si>
    <t>database_lock_date</t>
    <phoneticPr fontId="6" type="noConversion"/>
  </si>
  <si>
    <t xml:space="preserve">first_and_second_interim analysis </t>
    <phoneticPr fontId="6" type="noConversion"/>
  </si>
  <si>
    <t>final_analysis_for</t>
    <phoneticPr fontId="6" type="noConversion"/>
  </si>
  <si>
    <t>MPR|pCR</t>
    <phoneticPr fontId="6" type="noConversion"/>
  </si>
  <si>
    <t>final_analysis</t>
    <phoneticPr fontId="6" type="noConversion"/>
  </si>
  <si>
    <t>interim_analysis</t>
    <phoneticPr fontId="6" type="noConversion"/>
  </si>
  <si>
    <t>Toripalimab</t>
    <phoneticPr fontId="6" type="noConversion"/>
  </si>
  <si>
    <t>chinese_treatment</t>
    <phoneticPr fontId="6" type="noConversion"/>
  </si>
  <si>
    <t>特瑞普利单抗</t>
    <phoneticPr fontId="6" type="noConversion"/>
  </si>
  <si>
    <t>卡瑞利珠单抗</t>
    <phoneticPr fontId="6" type="noConversion"/>
  </si>
  <si>
    <t>纳武利尤单抗</t>
    <phoneticPr fontId="6" type="noConversion"/>
  </si>
  <si>
    <t>pCR</t>
    <phoneticPr fontId="6" type="noConversion"/>
  </si>
  <si>
    <t>comments</t>
    <phoneticPr fontId="6" type="noConversion"/>
  </si>
  <si>
    <t>na</t>
    <phoneticPr fontId="6" type="noConversion"/>
  </si>
  <si>
    <t>Tislelizumab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</si>
</sst>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9"/>
      <color rgb="FF0F1115"/>
      <name val="Segoe UI"/>
      <family val="2"/>
    </font>
    <font>
      <b/>
      <sz val="10"/>
      <color rgb="FF0F1115"/>
      <name val="Consolas"/>
      <family val="3"/>
    </font>
    <font>
      <sz val="7"/>
      <color rgb="FF0F1115"/>
      <name val="Segoe UI"/>
      <family val="2"/>
    </font>
    <font>
      <sz val="6"/>
      <color theme="1"/>
      <name val="Segoe UI"/>
      <family val="2"/>
    </font>
    <font>
      <sz val="7"/>
      <color rgb="FF0F1115"/>
      <name val="Segoe U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/>
    <xf numFmtId="0" fontId="0" fillId="2" borderId="0" xfId="0" applyFill="1" applyAlignment="1"/>
    <xf numFmtId="0" fontId="0" fillId="0" borderId="0" xfId="0" applyAlignment="1">
      <alignment wrapText="1"/>
    </xf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14" fontId="0" fillId="0" borderId="0" xfId="0" applyNumberFormat="1" applyAlignment="1"/>
    <xf numFmtId="0" fontId="0" fillId="6" borderId="0" xfId="0" applyFill="1">
      <alignment vertical="center"/>
    </xf>
    <xf numFmtId="0" fontId="0" fillId="6" borderId="0" xfId="0" applyFill="1" applyAlignment="1"/>
    <xf numFmtId="0" fontId="0" fillId="7" borderId="0" xfId="0" applyFill="1" applyAlignment="1"/>
    <xf numFmtId="0" fontId="0" fillId="7" borderId="0" xfId="0" applyFill="1">
      <alignment vertical="center"/>
    </xf>
    <xf numFmtId="0" fontId="0" fillId="6" borderId="0" xfId="0" applyFill="1" applyAlignment="1">
      <alignment wrapText="1"/>
    </xf>
    <xf numFmtId="0" fontId="0" fillId="8" borderId="0" xfId="0" applyFill="1" applyAlignment="1"/>
    <xf numFmtId="0" fontId="0" fillId="8" borderId="0" xfId="0" applyFill="1" applyAlignment="1">
      <alignment wrapText="1"/>
    </xf>
    <xf numFmtId="0" fontId="0" fillId="9" borderId="0" xfId="0" applyFill="1" applyAlignment="1"/>
    <xf numFmtId="0" fontId="0" fillId="9" borderId="0" xfId="0" applyFill="1" applyAlignment="1">
      <alignment wrapText="1"/>
    </xf>
    <xf numFmtId="0" fontId="0" fillId="10" borderId="0" xfId="0" applyFill="1" applyAlignment="1"/>
    <xf numFmtId="0" fontId="0" fillId="10" borderId="0" xfId="0" applyFill="1" applyAlignment="1">
      <alignment wrapText="1"/>
    </xf>
    <xf numFmtId="0" fontId="0" fillId="10" borderId="0" xfId="0" applyFill="1">
      <alignment vertical="center"/>
    </xf>
    <xf numFmtId="0" fontId="0" fillId="4" borderId="0" xfId="0" applyFill="1">
      <alignment vertical="center"/>
    </xf>
    <xf numFmtId="14" fontId="0" fillId="0" borderId="0" xfId="0" applyNumberFormat="1">
      <alignment vertical="center"/>
    </xf>
    <xf numFmtId="0" fontId="8" fillId="0" borderId="0" xfId="1">
      <alignment vertical="center"/>
    </xf>
    <xf numFmtId="0" fontId="0" fillId="8" borderId="0" xfId="0" applyFill="1">
      <alignment vertical="center"/>
    </xf>
    <xf numFmtId="0" fontId="0" fillId="11" borderId="0" xfId="0" applyFill="1">
      <alignment vertical="center"/>
    </xf>
    <xf numFmtId="14" fontId="0" fillId="11" borderId="0" xfId="0" applyNumberFormat="1" applyFill="1" applyAlignment="1"/>
    <xf numFmtId="14" fontId="0" fillId="8" borderId="0" xfId="0" applyNumberFormat="1" applyFill="1">
      <alignment vertical="center"/>
    </xf>
    <xf numFmtId="0" fontId="0" fillId="12" borderId="0" xfId="0" applyFill="1">
      <alignment vertical="center"/>
    </xf>
    <xf numFmtId="14" fontId="0" fillId="12" borderId="0" xfId="0" applyNumberFormat="1" applyFill="1" applyAlignment="1"/>
    <xf numFmtId="0" fontId="0" fillId="13" borderId="0" xfId="0" applyFill="1">
      <alignment vertical="center"/>
    </xf>
    <xf numFmtId="0" fontId="0" fillId="13" borderId="0" xfId="0" applyFill="1" applyAlignment="1"/>
    <xf numFmtId="14" fontId="0" fillId="13" borderId="0" xfId="0" applyNumberFormat="1" applyFill="1">
      <alignment vertical="center"/>
    </xf>
    <xf numFmtId="0" fontId="0" fillId="14" borderId="0" xfId="0" applyFill="1">
      <alignment vertical="center"/>
    </xf>
    <xf numFmtId="0" fontId="0" fillId="9" borderId="0" xfId="0" applyFill="1">
      <alignment vertical="center"/>
    </xf>
    <xf numFmtId="0" fontId="0" fillId="15" borderId="0" xfId="0" applyFill="1" applyAlignment="1"/>
    <xf numFmtId="0" fontId="0" fillId="1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uofeng Li" id="{7B01C7ED-E337-4656-91E5-71A09B8DE17A}" userId="17ef88d48b71c1a2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4" dT="2026-03-17T04:42:08.90" personId="{7B01C7ED-E337-4656-91E5-71A09B8DE17A}" id="{89E793C7-88A8-4162-8BC8-5FD0C7BFDB53}">
    <text>原始文献中只提到75岁以上分组信息，没有75岁以下的分组信息。</text>
  </threadedComment>
  <threadedComment ref="I15" dT="2026-03-17T04:42:08.90" personId="{7B01C7ED-E337-4656-91E5-71A09B8DE17A}" id="{D0936E72-DC14-4E8F-B308-7E647E10FD5D}">
    <text>原始文献中只提到75岁以上分组信息，没有75岁以下的分组信息。</text>
  </threadedComment>
  <threadedComment ref="I20" dT="2026-03-17T04:42:08.90" personId="{7B01C7ED-E337-4656-91E5-71A09B8DE17A}" id="{87C26906-6702-4F57-A5BE-A1DF5F9FD806}">
    <text>原始文献中只提到75岁以上分组信息，没有75岁以下的分组信息。</text>
  </threadedComment>
  <threadedComment ref="I21" dT="2026-03-17T04:42:08.90" personId="{7B01C7ED-E337-4656-91E5-71A09B8DE17A}" id="{9EAFC2C3-7185-4D0A-9BAA-18E2BF09DCB2}">
    <text>原始文献中只提到75岁以上分组信息，没有75岁以下的分组信息。</text>
  </threadedComment>
  <threadedComment ref="O42" dT="2026-01-11T12:56:03.46" personId="{7B01C7ED-E337-4656-91E5-71A09B8DE17A}" id="{8F867233-4D1E-40FD-AF76-2D5327352219}">
    <text>来自文章</text>
  </threadedComment>
  <threadedComment ref="O43" dT="2026-01-11T12:56:10.94" personId="{7B01C7ED-E337-4656-91E5-71A09B8DE17A}" id="{9A1E5F34-3720-40CA-91E1-8E7485382AFC}">
    <text>来自文章</text>
  </threadedComment>
  <threadedComment ref="S252" dT="2026-03-22T12:59:51.60" personId="{7B01C7ED-E337-4656-91E5-71A09B8DE17A}" id="{79610E96-313D-48D8-9337-A0CE968BC03B}">
    <text>原始采集的数据搞反了。这个数据挪到了Events RATIO IN SUBGROUP_OPTION + TREATMENT 列</text>
  </threadedComment>
  <threadedComment ref="S253" dT="2026-03-22T12:59:51.60" personId="{7B01C7ED-E337-4656-91E5-71A09B8DE17A}" id="{6D2B1529-469D-447B-ABD9-FBC3BB81C052}">
    <text>原始采集的数据搞反了。这个数据挪到了Events RATIO IN SUBGROUP_OPTION + TREATMENT 列</text>
  </threadedComment>
  <threadedComment ref="S262" dT="2026-03-22T12:59:51.60" personId="{7B01C7ED-E337-4656-91E5-71A09B8DE17A}" id="{B014B086-C769-4693-955A-C44812DB26C8}">
    <text>原始采集的数据搞反了。这个数据挪到了Events RATIO IN SUBGROUP_OPTION + TREATMENT 列</text>
  </threadedComment>
  <threadedComment ref="S263" dT="2026-03-22T12:59:51.60" personId="{7B01C7ED-E337-4656-91E5-71A09B8DE17A}" id="{063DD136-1704-470E-9FA8-05D147A7F24E}">
    <text>原始采集的数据搞反了。这个数据挪到了Events RATIO IN SUBGROUP_OPTION + TREATMENT 列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to.org/article/S1556-0864(23)00338-6/fulltex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jm.org/doi/full/10.1056/NEJMoa2215530" TargetMode="External"/><Relationship Id="rId2" Type="http://schemas.openxmlformats.org/officeDocument/2006/relationships/hyperlink" Target="http://localhost:8000/documents/1848/details" TargetMode="External"/><Relationship Id="rId1" Type="http://schemas.openxmlformats.org/officeDocument/2006/relationships/hyperlink" Target="https://www.jto.org/article/S1556-0864(23)00338-6/fulltext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46F1-9387-4A7E-8256-13BE0366FE89}">
  <sheetPr filterMode="1"/>
  <dimension ref="A1:O12"/>
  <sheetViews>
    <sheetView workbookViewId="0">
      <selection activeCell="F15" sqref="F15"/>
    </sheetView>
  </sheetViews>
  <sheetFormatPr defaultRowHeight="14.15" x14ac:dyDescent="0.35"/>
  <cols>
    <col min="1" max="1" width="14.78515625" bestFit="1" customWidth="1"/>
    <col min="4" max="4" width="14.35546875" customWidth="1"/>
    <col min="6" max="6" width="12.5" bestFit="1" customWidth="1"/>
    <col min="7" max="7" width="15.92578125" bestFit="1" customWidth="1"/>
    <col min="9" max="9" width="35.5703125" customWidth="1"/>
    <col min="10" max="10" width="17.5703125" customWidth="1"/>
    <col min="11" max="11" width="17.0703125" customWidth="1"/>
    <col min="12" max="12" width="35.2109375" bestFit="1" customWidth="1"/>
    <col min="14" max="14" width="12.640625" bestFit="1" customWidth="1"/>
    <col min="15" max="15" width="22.0703125" bestFit="1" customWidth="1"/>
  </cols>
  <sheetData>
    <row r="1" spans="1:15" x14ac:dyDescent="0.35">
      <c r="A1" t="s">
        <v>212</v>
      </c>
      <c r="B1" t="s">
        <v>1</v>
      </c>
      <c r="C1" s="4" t="s">
        <v>180</v>
      </c>
      <c r="D1" t="s">
        <v>2</v>
      </c>
      <c r="E1" t="s">
        <v>3</v>
      </c>
      <c r="F1" t="s">
        <v>202</v>
      </c>
      <c r="G1" t="s">
        <v>394</v>
      </c>
      <c r="H1" t="s">
        <v>4</v>
      </c>
      <c r="I1" t="s">
        <v>370</v>
      </c>
      <c r="J1" t="s">
        <v>389</v>
      </c>
      <c r="K1" t="s">
        <v>387</v>
      </c>
      <c r="L1" t="s">
        <v>386</v>
      </c>
      <c r="M1" t="s">
        <v>367</v>
      </c>
      <c r="N1" t="s">
        <v>368</v>
      </c>
      <c r="O1" t="s">
        <v>399</v>
      </c>
    </row>
    <row r="2" spans="1:15" s="32" customFormat="1" hidden="1" x14ac:dyDescent="0.35">
      <c r="A2" s="32" t="s">
        <v>196</v>
      </c>
      <c r="B2" s="32" t="s">
        <v>201</v>
      </c>
      <c r="C2" s="33">
        <v>2022</v>
      </c>
      <c r="F2" s="32" t="s">
        <v>208</v>
      </c>
      <c r="G2" s="32" t="s">
        <v>397</v>
      </c>
      <c r="H2" s="32">
        <v>358</v>
      </c>
      <c r="I2" s="34" t="s">
        <v>392</v>
      </c>
      <c r="J2" s="32" t="s">
        <v>398</v>
      </c>
      <c r="K2" s="34">
        <v>44489</v>
      </c>
      <c r="L2" s="32">
        <v>29.5</v>
      </c>
      <c r="O2" s="32" t="s">
        <v>400</v>
      </c>
    </row>
    <row r="3" spans="1:15" s="32" customFormat="1" hidden="1" x14ac:dyDescent="0.35">
      <c r="A3" s="32" t="s">
        <v>196</v>
      </c>
      <c r="B3" s="32" t="s">
        <v>201</v>
      </c>
      <c r="C3" s="33">
        <v>2023</v>
      </c>
      <c r="F3" s="32" t="s">
        <v>208</v>
      </c>
      <c r="G3" s="32" t="s">
        <v>397</v>
      </c>
      <c r="H3" s="32">
        <v>358</v>
      </c>
      <c r="I3" s="34"/>
      <c r="K3" s="24">
        <v>44848</v>
      </c>
      <c r="L3" s="32">
        <v>41.4</v>
      </c>
      <c r="N3" s="25" t="s">
        <v>327</v>
      </c>
      <c r="O3" t="s">
        <v>326</v>
      </c>
    </row>
    <row r="4" spans="1:15" s="32" customFormat="1" hidden="1" x14ac:dyDescent="0.35">
      <c r="A4" s="32" t="s">
        <v>196</v>
      </c>
      <c r="B4" s="32" t="s">
        <v>200</v>
      </c>
      <c r="C4" s="32">
        <v>2025</v>
      </c>
      <c r="F4" s="32" t="s">
        <v>208</v>
      </c>
      <c r="G4" s="32" t="s">
        <v>397</v>
      </c>
      <c r="H4" s="32">
        <v>358</v>
      </c>
      <c r="I4" s="32" t="s">
        <v>391</v>
      </c>
      <c r="L4" s="32">
        <v>68.400000000000006</v>
      </c>
      <c r="O4" s="32" t="s">
        <v>400</v>
      </c>
    </row>
    <row r="5" spans="1:15" hidden="1" x14ac:dyDescent="0.35">
      <c r="A5" t="s">
        <v>195</v>
      </c>
      <c r="B5" t="s">
        <v>200</v>
      </c>
      <c r="C5">
        <v>2024</v>
      </c>
      <c r="H5">
        <v>460</v>
      </c>
      <c r="O5" s="32" t="s">
        <v>400</v>
      </c>
    </row>
    <row r="6" spans="1:15" s="27" customFormat="1" hidden="1" x14ac:dyDescent="0.35">
      <c r="A6" s="27" t="s">
        <v>384</v>
      </c>
      <c r="B6" s="27" t="s">
        <v>200</v>
      </c>
      <c r="C6" s="27">
        <v>2023</v>
      </c>
      <c r="H6" s="27">
        <v>797</v>
      </c>
      <c r="I6" s="27" t="s">
        <v>371</v>
      </c>
      <c r="K6" s="28">
        <v>44771</v>
      </c>
      <c r="N6" s="27" t="s">
        <v>369</v>
      </c>
      <c r="O6" s="32" t="s">
        <v>400</v>
      </c>
    </row>
    <row r="7" spans="1:15" s="26" customFormat="1" hidden="1" x14ac:dyDescent="0.35">
      <c r="A7" s="26" t="s">
        <v>24</v>
      </c>
      <c r="B7" s="26" t="s">
        <v>200</v>
      </c>
      <c r="C7" s="26">
        <v>2024</v>
      </c>
      <c r="H7" s="26">
        <v>797</v>
      </c>
      <c r="I7" s="26" t="s">
        <v>385</v>
      </c>
      <c r="K7" s="29">
        <v>45117</v>
      </c>
      <c r="L7" s="26">
        <v>36.6</v>
      </c>
      <c r="O7" s="32" t="s">
        <v>400</v>
      </c>
    </row>
    <row r="8" spans="1:15" hidden="1" x14ac:dyDescent="0.35">
      <c r="A8" t="s">
        <v>31</v>
      </c>
      <c r="B8" t="s">
        <v>200</v>
      </c>
      <c r="C8">
        <v>2024</v>
      </c>
      <c r="F8" t="s">
        <v>393</v>
      </c>
      <c r="G8" t="s">
        <v>395</v>
      </c>
      <c r="H8">
        <v>404</v>
      </c>
      <c r="I8" t="s">
        <v>392</v>
      </c>
      <c r="K8" s="24">
        <v>44895</v>
      </c>
      <c r="O8" s="32" t="s">
        <v>400</v>
      </c>
    </row>
    <row r="9" spans="1:15" s="35" customFormat="1" hidden="1" x14ac:dyDescent="0.35">
      <c r="A9" s="35" t="s">
        <v>46</v>
      </c>
      <c r="B9" s="35" t="s">
        <v>201</v>
      </c>
      <c r="C9" s="35">
        <v>2023</v>
      </c>
      <c r="H9" s="35">
        <v>799</v>
      </c>
      <c r="O9" s="32" t="s">
        <v>400</v>
      </c>
    </row>
    <row r="10" spans="1:15" s="30" customFormat="1" x14ac:dyDescent="0.35">
      <c r="A10" s="30" t="s">
        <v>40</v>
      </c>
      <c r="B10" s="30" t="s">
        <v>201</v>
      </c>
      <c r="C10" s="30">
        <v>2024</v>
      </c>
      <c r="F10" s="30" t="s">
        <v>401</v>
      </c>
      <c r="H10" s="30">
        <v>453</v>
      </c>
      <c r="I10" s="30" t="s">
        <v>388</v>
      </c>
      <c r="J10" s="30" t="s">
        <v>390</v>
      </c>
      <c r="K10" s="31">
        <v>45159</v>
      </c>
      <c r="L10" s="30">
        <v>22</v>
      </c>
      <c r="O10" s="32" t="s">
        <v>400</v>
      </c>
    </row>
    <row r="11" spans="1:15" hidden="1" x14ac:dyDescent="0.35">
      <c r="A11" t="s">
        <v>198</v>
      </c>
      <c r="B11" t="s">
        <v>199</v>
      </c>
      <c r="C11">
        <v>2023</v>
      </c>
      <c r="F11" t="s">
        <v>204</v>
      </c>
      <c r="G11" t="s">
        <v>396</v>
      </c>
      <c r="H11">
        <v>88</v>
      </c>
      <c r="K11" s="24">
        <v>44804</v>
      </c>
      <c r="L11">
        <v>14.1</v>
      </c>
      <c r="M11">
        <v>37535377</v>
      </c>
      <c r="O11" s="32" t="s">
        <v>400</v>
      </c>
    </row>
    <row r="12" spans="1:15" s="36" customFormat="1" hidden="1" x14ac:dyDescent="0.35">
      <c r="A12" s="36" t="s">
        <v>206</v>
      </c>
      <c r="B12" s="36" t="s">
        <v>207</v>
      </c>
      <c r="C12" s="36">
        <v>2023</v>
      </c>
      <c r="F12" s="36" t="s">
        <v>208</v>
      </c>
      <c r="H12" s="36">
        <v>86</v>
      </c>
      <c r="O12" s="32" t="s">
        <v>400</v>
      </c>
    </row>
  </sheetData>
  <autoFilter ref="A1:O12" xr:uid="{C62246F1-9387-4A7E-8256-13BE0366FE89}">
    <filterColumn colId="0">
      <filters>
        <filter val="RATIONALE-315"/>
      </filters>
    </filterColumn>
  </autoFilter>
  <phoneticPr fontId="6" type="noConversion"/>
  <hyperlinks>
    <hyperlink ref="N3" r:id="rId1" xr:uid="{7A4DC31A-C279-4AE6-9A32-AA7E70464A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57DE-EBE0-4137-B3CA-3E2E983F6363}">
  <sheetPr filterMode="1"/>
  <dimension ref="A1:AN800"/>
  <sheetViews>
    <sheetView zoomScaleNormal="100" workbookViewId="0">
      <selection activeCell="E25" sqref="E25"/>
    </sheetView>
  </sheetViews>
  <sheetFormatPr defaultRowHeight="14.15" x14ac:dyDescent="0.35"/>
  <cols>
    <col min="1" max="1" width="9.140625" style="4"/>
    <col min="2" max="2" width="18.140625" style="4" customWidth="1"/>
    <col min="3" max="4" width="9.140625" style="4"/>
    <col min="5" max="5" width="19.5703125" style="12" customWidth="1"/>
    <col min="6" max="6" width="19.5703125" style="4" customWidth="1"/>
    <col min="7" max="7" width="18.85546875" style="4" customWidth="1"/>
    <col min="8" max="8" width="30.2109375" style="4" customWidth="1"/>
    <col min="9" max="9" width="54.0703125" style="4" bestFit="1" customWidth="1"/>
    <col min="10" max="11" width="22.5" style="4" customWidth="1"/>
    <col min="12" max="12" width="20.42578125" style="4" customWidth="1"/>
    <col min="13" max="13" width="16.92578125" style="4" customWidth="1"/>
    <col min="14" max="14" width="24.42578125" style="4" customWidth="1"/>
    <col min="15" max="15" width="14.28515625" style="4" customWidth="1"/>
    <col min="16" max="16" width="17.85546875" style="4" customWidth="1"/>
    <col min="17" max="17" width="42.140625" style="4" customWidth="1"/>
    <col min="18" max="18" width="32.35546875" style="4" customWidth="1"/>
    <col min="19" max="19" width="33.85546875" style="4" customWidth="1"/>
    <col min="20" max="21" width="9.140625" style="4"/>
    <col min="22" max="22" width="17.28515625" style="4" customWidth="1"/>
    <col min="23" max="23" width="23.7109375" style="4" customWidth="1"/>
    <col min="24" max="24" width="7.5703125" style="4" customWidth="1"/>
    <col min="25" max="25" width="7.85546875" style="4" customWidth="1"/>
    <col min="26" max="26" width="12.2109375" style="4" customWidth="1"/>
    <col min="27" max="27" width="23.92578125" style="4" customWidth="1"/>
    <col min="28" max="28" width="18.140625" style="4" bestFit="1" customWidth="1"/>
    <col min="29" max="16384" width="9.140625" style="4"/>
  </cols>
  <sheetData>
    <row r="1" spans="1:28" x14ac:dyDescent="0.35">
      <c r="A1" s="4" t="s">
        <v>177</v>
      </c>
      <c r="B1" s="4" t="s">
        <v>178</v>
      </c>
      <c r="C1" s="4" t="s">
        <v>179</v>
      </c>
      <c r="D1" s="4" t="s">
        <v>25</v>
      </c>
      <c r="E1" s="12" t="s">
        <v>26</v>
      </c>
      <c r="F1" s="4" t="s">
        <v>180</v>
      </c>
      <c r="G1" s="4" t="s">
        <v>181</v>
      </c>
      <c r="H1" s="4" t="s">
        <v>182</v>
      </c>
      <c r="I1" s="4" t="s">
        <v>193</v>
      </c>
      <c r="J1" s="4" t="s">
        <v>194</v>
      </c>
      <c r="K1" s="4" t="s">
        <v>243</v>
      </c>
      <c r="L1" s="4" t="s">
        <v>183</v>
      </c>
      <c r="M1" s="4" t="s">
        <v>184</v>
      </c>
      <c r="N1" s="4" t="s">
        <v>185</v>
      </c>
      <c r="O1" s="4" t="s">
        <v>27</v>
      </c>
      <c r="P1" s="4" t="s">
        <v>28</v>
      </c>
      <c r="Q1" t="s">
        <v>238</v>
      </c>
      <c r="R1" t="s">
        <v>239</v>
      </c>
      <c r="S1" s="4" t="s">
        <v>242</v>
      </c>
      <c r="T1" s="4" t="s">
        <v>186</v>
      </c>
      <c r="U1" s="4" t="s">
        <v>187</v>
      </c>
      <c r="V1" s="4" t="s">
        <v>188</v>
      </c>
      <c r="W1" s="4" t="s">
        <v>189</v>
      </c>
      <c r="X1" s="4" t="s">
        <v>190</v>
      </c>
      <c r="Y1" s="4" t="s">
        <v>191</v>
      </c>
      <c r="AA1" s="4" t="s">
        <v>215</v>
      </c>
      <c r="AB1" s="4" t="s">
        <v>216</v>
      </c>
    </row>
    <row r="2" spans="1:28" hidden="1" x14ac:dyDescent="0.35">
      <c r="A2" s="4" t="s">
        <v>29</v>
      </c>
      <c r="B2" s="4" t="s">
        <v>30</v>
      </c>
      <c r="C2" s="4">
        <v>1120</v>
      </c>
      <c r="D2" s="4">
        <v>5</v>
      </c>
      <c r="E2" s="12" t="s">
        <v>31</v>
      </c>
      <c r="F2" s="4">
        <v>2024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244</v>
      </c>
      <c r="L2" s="4" t="s">
        <v>36</v>
      </c>
      <c r="M2" s="4" t="s">
        <v>37</v>
      </c>
      <c r="N2" s="4" t="s">
        <v>38</v>
      </c>
      <c r="O2" s="4">
        <v>0</v>
      </c>
      <c r="P2" s="4">
        <v>202</v>
      </c>
    </row>
    <row r="3" spans="1:28" hidden="1" x14ac:dyDescent="0.35">
      <c r="A3" s="4" t="s">
        <v>29</v>
      </c>
      <c r="B3" s="4" t="s">
        <v>30</v>
      </c>
      <c r="C3" s="4">
        <v>1120</v>
      </c>
      <c r="D3" s="4">
        <v>5</v>
      </c>
      <c r="E3" s="12" t="s">
        <v>31</v>
      </c>
      <c r="F3" s="4">
        <v>2024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244</v>
      </c>
      <c r="L3" s="4" t="s">
        <v>39</v>
      </c>
      <c r="M3" s="4" t="s">
        <v>37</v>
      </c>
      <c r="N3" s="4" t="s">
        <v>192</v>
      </c>
      <c r="O3" s="4">
        <v>0</v>
      </c>
      <c r="P3" s="4">
        <v>202</v>
      </c>
    </row>
    <row r="4" spans="1:28" s="5" customFormat="1" hidden="1" x14ac:dyDescent="0.35">
      <c r="A4" s="4" t="s">
        <v>29</v>
      </c>
      <c r="B4" s="4" t="s">
        <v>30</v>
      </c>
      <c r="C4" s="4">
        <v>1010</v>
      </c>
      <c r="D4" s="4">
        <v>6</v>
      </c>
      <c r="E4" s="12" t="s">
        <v>40</v>
      </c>
      <c r="F4" s="4">
        <v>2024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244</v>
      </c>
      <c r="L4" s="4" t="s">
        <v>39</v>
      </c>
      <c r="M4" s="4" t="s">
        <v>41</v>
      </c>
      <c r="N4" s="4" t="s">
        <v>42</v>
      </c>
      <c r="O4" s="4">
        <v>1</v>
      </c>
      <c r="P4" s="4">
        <v>226</v>
      </c>
      <c r="Q4" s="4"/>
      <c r="R4" s="4"/>
      <c r="S4" s="4"/>
      <c r="T4" s="4"/>
      <c r="U4" s="4"/>
      <c r="V4" s="4"/>
      <c r="W4" s="4"/>
      <c r="X4" s="4"/>
      <c r="Y4" s="4"/>
    </row>
    <row r="5" spans="1:28" hidden="1" x14ac:dyDescent="0.35">
      <c r="A5" s="4" t="s">
        <v>29</v>
      </c>
      <c r="B5" s="4" t="s">
        <v>30</v>
      </c>
      <c r="C5" s="4">
        <v>1010</v>
      </c>
      <c r="D5" s="4">
        <v>6</v>
      </c>
      <c r="E5" s="12" t="s">
        <v>40</v>
      </c>
      <c r="F5" s="4">
        <v>2024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244</v>
      </c>
      <c r="L5" s="4" t="s">
        <v>39</v>
      </c>
      <c r="M5" s="4" t="s">
        <v>41</v>
      </c>
      <c r="N5" s="4" t="s">
        <v>192</v>
      </c>
      <c r="O5" s="4">
        <v>1</v>
      </c>
      <c r="P5" s="4">
        <v>226</v>
      </c>
    </row>
    <row r="6" spans="1:28" hidden="1" x14ac:dyDescent="0.35">
      <c r="A6" s="4" t="s">
        <v>29</v>
      </c>
      <c r="B6" s="4" t="s">
        <v>43</v>
      </c>
      <c r="C6" s="4">
        <v>1010</v>
      </c>
      <c r="D6" s="4">
        <v>6</v>
      </c>
      <c r="E6" s="12" t="s">
        <v>40</v>
      </c>
      <c r="F6" s="4">
        <v>2024</v>
      </c>
      <c r="G6" s="4" t="s">
        <v>32</v>
      </c>
      <c r="H6" s="4" t="s">
        <v>33</v>
      </c>
      <c r="I6" s="4" t="s">
        <v>44</v>
      </c>
      <c r="J6" s="4" t="s">
        <v>35</v>
      </c>
      <c r="K6" s="4" t="s">
        <v>244</v>
      </c>
      <c r="L6" s="4" t="s">
        <v>39</v>
      </c>
      <c r="M6" s="4" t="s">
        <v>41</v>
      </c>
      <c r="N6" s="4" t="s">
        <v>42</v>
      </c>
      <c r="O6" s="4">
        <v>0</v>
      </c>
      <c r="P6" s="4">
        <v>226</v>
      </c>
    </row>
    <row r="7" spans="1:28" hidden="1" x14ac:dyDescent="0.35">
      <c r="A7" s="4" t="s">
        <v>29</v>
      </c>
      <c r="B7" s="4" t="s">
        <v>43</v>
      </c>
      <c r="C7" s="4">
        <v>1010</v>
      </c>
      <c r="D7" s="4">
        <v>6</v>
      </c>
      <c r="E7" s="12" t="s">
        <v>40</v>
      </c>
      <c r="F7" s="4">
        <v>2024</v>
      </c>
      <c r="G7" s="4" t="s">
        <v>32</v>
      </c>
      <c r="H7" s="4" t="s">
        <v>33</v>
      </c>
      <c r="I7" s="4" t="s">
        <v>44</v>
      </c>
      <c r="J7" s="4" t="s">
        <v>35</v>
      </c>
      <c r="K7" s="4" t="s">
        <v>244</v>
      </c>
      <c r="L7" s="4" t="s">
        <v>39</v>
      </c>
      <c r="M7" s="4" t="s">
        <v>41</v>
      </c>
      <c r="N7" s="4" t="s">
        <v>192</v>
      </c>
      <c r="O7" s="4">
        <v>0</v>
      </c>
      <c r="P7" s="4">
        <v>226</v>
      </c>
    </row>
    <row r="8" spans="1:28" ht="42.45" hidden="1" x14ac:dyDescent="0.35">
      <c r="A8" s="4" t="s">
        <v>45</v>
      </c>
      <c r="C8" s="4">
        <v>1130</v>
      </c>
      <c r="D8" s="4">
        <v>3</v>
      </c>
      <c r="E8" s="12" t="s">
        <v>46</v>
      </c>
      <c r="F8" s="4">
        <v>2023</v>
      </c>
      <c r="G8" s="4" t="s">
        <v>32</v>
      </c>
      <c r="H8" s="4" t="s">
        <v>47</v>
      </c>
      <c r="I8" s="4" t="s">
        <v>41</v>
      </c>
      <c r="J8" s="4" t="s">
        <v>41</v>
      </c>
      <c r="K8" s="4" t="s">
        <v>244</v>
      </c>
      <c r="L8" s="6" t="s">
        <v>48</v>
      </c>
      <c r="M8" s="4" t="s">
        <v>41</v>
      </c>
      <c r="N8" s="4" t="s">
        <v>49</v>
      </c>
      <c r="O8" s="4">
        <f t="shared" ref="O8:O15" si="0">P8*S8/100</f>
        <v>62.951999999999998</v>
      </c>
      <c r="P8" s="4">
        <v>366</v>
      </c>
      <c r="S8" s="4">
        <v>17.2</v>
      </c>
      <c r="V8" s="4">
        <v>17.2</v>
      </c>
    </row>
    <row r="9" spans="1:28" ht="42.45" hidden="1" x14ac:dyDescent="0.35">
      <c r="A9" s="4" t="s">
        <v>45</v>
      </c>
      <c r="C9" s="4">
        <v>1130</v>
      </c>
      <c r="D9" s="4">
        <v>3</v>
      </c>
      <c r="E9" s="12" t="s">
        <v>46</v>
      </c>
      <c r="F9" s="4">
        <v>2023</v>
      </c>
      <c r="G9" s="4" t="s">
        <v>32</v>
      </c>
      <c r="H9" s="4" t="s">
        <v>47</v>
      </c>
      <c r="I9" s="4" t="s">
        <v>41</v>
      </c>
      <c r="J9" s="4" t="s">
        <v>41</v>
      </c>
      <c r="K9" s="4" t="s">
        <v>244</v>
      </c>
      <c r="L9" s="6" t="s">
        <v>48</v>
      </c>
      <c r="M9" s="4" t="s">
        <v>41</v>
      </c>
      <c r="N9" s="4" t="s">
        <v>192</v>
      </c>
      <c r="O9" s="4">
        <f t="shared" si="0"/>
        <v>16.082000000000001</v>
      </c>
      <c r="P9" s="4">
        <v>374</v>
      </c>
      <c r="S9" s="4">
        <v>4.3</v>
      </c>
      <c r="V9" s="4">
        <v>4.3</v>
      </c>
      <c r="W9" s="4">
        <v>740</v>
      </c>
    </row>
    <row r="10" spans="1:28" ht="42.45" hidden="1" x14ac:dyDescent="0.35">
      <c r="A10" s="4" t="s">
        <v>45</v>
      </c>
      <c r="B10" s="5"/>
      <c r="C10" s="4">
        <v>1030</v>
      </c>
      <c r="D10" s="4">
        <v>1</v>
      </c>
      <c r="E10" s="12" t="s">
        <v>197</v>
      </c>
      <c r="F10" s="4">
        <v>2022</v>
      </c>
      <c r="G10" s="4" t="s">
        <v>32</v>
      </c>
      <c r="H10" s="4" t="s">
        <v>50</v>
      </c>
      <c r="I10" s="4" t="s">
        <v>41</v>
      </c>
      <c r="J10" s="4" t="s">
        <v>41</v>
      </c>
      <c r="K10" s="4" t="s">
        <v>244</v>
      </c>
      <c r="L10" s="6" t="s">
        <v>48</v>
      </c>
      <c r="M10" s="4" t="s">
        <v>37</v>
      </c>
      <c r="N10" s="4" t="s">
        <v>192</v>
      </c>
      <c r="O10" s="4">
        <f t="shared" si="0"/>
        <v>3.9380000000000002</v>
      </c>
      <c r="P10" s="4">
        <v>179</v>
      </c>
      <c r="S10" s="4">
        <v>2.2000000000000002</v>
      </c>
      <c r="X10" s="5"/>
      <c r="Y10" s="5">
        <v>22</v>
      </c>
    </row>
    <row r="11" spans="1:28" ht="42.45" hidden="1" x14ac:dyDescent="0.35">
      <c r="A11" s="4" t="s">
        <v>45</v>
      </c>
      <c r="C11" s="4">
        <v>1030</v>
      </c>
      <c r="D11" s="4">
        <v>1</v>
      </c>
      <c r="E11" s="12" t="s">
        <v>22</v>
      </c>
      <c r="F11" s="4">
        <v>2022</v>
      </c>
      <c r="G11" s="4" t="s">
        <v>32</v>
      </c>
      <c r="H11" s="4" t="s">
        <v>50</v>
      </c>
      <c r="I11" s="4" t="s">
        <v>41</v>
      </c>
      <c r="J11" s="4" t="s">
        <v>41</v>
      </c>
      <c r="K11" s="4" t="s">
        <v>244</v>
      </c>
      <c r="L11" s="6" t="s">
        <v>48</v>
      </c>
      <c r="M11" s="4" t="s">
        <v>37</v>
      </c>
      <c r="N11" s="4" t="s">
        <v>51</v>
      </c>
      <c r="O11" s="4">
        <f t="shared" si="0"/>
        <v>42.96</v>
      </c>
      <c r="P11" s="4">
        <v>179</v>
      </c>
      <c r="S11" s="4">
        <v>24</v>
      </c>
      <c r="X11" s="4">
        <v>358</v>
      </c>
      <c r="Y11" s="4">
        <v>24</v>
      </c>
    </row>
    <row r="12" spans="1:28" ht="42.45" hidden="1" x14ac:dyDescent="0.35">
      <c r="A12" s="4" t="s">
        <v>45</v>
      </c>
      <c r="C12" s="4">
        <v>1020</v>
      </c>
      <c r="D12" s="4">
        <v>2</v>
      </c>
      <c r="E12" s="12" t="s">
        <v>52</v>
      </c>
      <c r="F12" s="4">
        <v>2024</v>
      </c>
      <c r="G12" s="4" t="s">
        <v>32</v>
      </c>
      <c r="H12" s="4" t="s">
        <v>47</v>
      </c>
      <c r="I12" s="4" t="s">
        <v>41</v>
      </c>
      <c r="J12" s="4" t="s">
        <v>41</v>
      </c>
      <c r="K12" s="4" t="s">
        <v>244</v>
      </c>
      <c r="L12" s="6" t="s">
        <v>48</v>
      </c>
      <c r="M12" s="4" t="s">
        <v>41</v>
      </c>
      <c r="N12" s="4" t="s">
        <v>53</v>
      </c>
      <c r="O12" s="4">
        <f t="shared" si="0"/>
        <v>57.936999999999998</v>
      </c>
      <c r="P12" s="4">
        <v>229</v>
      </c>
      <c r="S12" s="4">
        <v>25.3</v>
      </c>
    </row>
    <row r="13" spans="1:28" ht="42.45" hidden="1" x14ac:dyDescent="0.35">
      <c r="A13" s="4" t="s">
        <v>45</v>
      </c>
      <c r="C13" s="4">
        <v>1020</v>
      </c>
      <c r="D13" s="4">
        <v>2</v>
      </c>
      <c r="E13" s="12" t="s">
        <v>52</v>
      </c>
      <c r="F13" s="4">
        <v>2024</v>
      </c>
      <c r="G13" s="4" t="s">
        <v>32</v>
      </c>
      <c r="H13" s="4" t="s">
        <v>47</v>
      </c>
      <c r="I13" s="4" t="s">
        <v>41</v>
      </c>
      <c r="J13" s="4" t="s">
        <v>41</v>
      </c>
      <c r="K13" s="4" t="s">
        <v>244</v>
      </c>
      <c r="L13" s="6" t="s">
        <v>48</v>
      </c>
      <c r="M13" s="4" t="s">
        <v>41</v>
      </c>
      <c r="N13" s="4" t="s">
        <v>192</v>
      </c>
      <c r="O13" s="4">
        <f t="shared" si="0"/>
        <v>10.904000000000002</v>
      </c>
      <c r="P13" s="4">
        <v>232</v>
      </c>
      <c r="S13" s="4">
        <v>4.7</v>
      </c>
    </row>
    <row r="14" spans="1:28" ht="13.75" hidden="1" customHeight="1" x14ac:dyDescent="0.35">
      <c r="A14" s="4" t="s">
        <v>45</v>
      </c>
      <c r="C14" s="4">
        <v>1130</v>
      </c>
      <c r="D14" s="4">
        <v>3</v>
      </c>
      <c r="E14" s="12" t="s">
        <v>46</v>
      </c>
      <c r="F14" s="4">
        <v>2023</v>
      </c>
      <c r="G14" s="4" t="s">
        <v>32</v>
      </c>
      <c r="H14" s="4" t="s">
        <v>47</v>
      </c>
      <c r="I14" s="4" t="s">
        <v>237</v>
      </c>
      <c r="J14" s="4" t="s">
        <v>54</v>
      </c>
      <c r="K14" s="4" t="s">
        <v>244</v>
      </c>
      <c r="L14" s="6" t="s">
        <v>48</v>
      </c>
      <c r="M14" s="4" t="s">
        <v>41</v>
      </c>
      <c r="N14" s="4" t="s">
        <v>49</v>
      </c>
      <c r="O14" s="4">
        <f t="shared" si="0"/>
        <v>0</v>
      </c>
      <c r="S14" s="4">
        <v>18.3</v>
      </c>
    </row>
    <row r="15" spans="1:28" ht="42.45" hidden="1" x14ac:dyDescent="0.35">
      <c r="A15" s="4" t="s">
        <v>45</v>
      </c>
      <c r="C15" s="4">
        <v>1130</v>
      </c>
      <c r="D15" s="4">
        <v>3</v>
      </c>
      <c r="E15" s="12" t="s">
        <v>46</v>
      </c>
      <c r="F15" s="4">
        <v>2023</v>
      </c>
      <c r="G15" s="4" t="s">
        <v>32</v>
      </c>
      <c r="H15" s="4" t="s">
        <v>47</v>
      </c>
      <c r="I15" s="4" t="s">
        <v>237</v>
      </c>
      <c r="J15" s="4" t="s">
        <v>54</v>
      </c>
      <c r="K15" s="4" t="s">
        <v>244</v>
      </c>
      <c r="L15" s="6" t="s">
        <v>48</v>
      </c>
      <c r="M15" s="4" t="s">
        <v>41</v>
      </c>
      <c r="N15" s="4" t="s">
        <v>192</v>
      </c>
      <c r="O15" s="4">
        <f t="shared" si="0"/>
        <v>0</v>
      </c>
      <c r="S15" s="4">
        <v>3.8</v>
      </c>
      <c r="W15" s="4">
        <v>358</v>
      </c>
    </row>
    <row r="16" spans="1:28" ht="42.45" hidden="1" x14ac:dyDescent="0.35">
      <c r="A16" s="4" t="s">
        <v>45</v>
      </c>
      <c r="C16" s="4">
        <v>1010</v>
      </c>
      <c r="D16" s="4">
        <v>6</v>
      </c>
      <c r="E16" s="12" t="s">
        <v>40</v>
      </c>
      <c r="F16" s="4">
        <v>2024</v>
      </c>
      <c r="G16" s="4" t="s">
        <v>32</v>
      </c>
      <c r="H16" s="4" t="s">
        <v>50</v>
      </c>
      <c r="I16" s="4" t="s">
        <v>37</v>
      </c>
      <c r="J16" s="4" t="s">
        <v>37</v>
      </c>
      <c r="K16" s="4" t="s">
        <v>244</v>
      </c>
      <c r="L16" s="6" t="s">
        <v>48</v>
      </c>
      <c r="M16" s="4" t="s">
        <v>41</v>
      </c>
      <c r="N16" s="4" t="s">
        <v>42</v>
      </c>
      <c r="O16" s="4">
        <v>92</v>
      </c>
      <c r="P16" s="4">
        <v>226</v>
      </c>
      <c r="S16" s="4">
        <v>117</v>
      </c>
      <c r="AA16" s="10">
        <v>44977</v>
      </c>
      <c r="AB16" s="4">
        <v>1783</v>
      </c>
    </row>
    <row r="17" spans="1:28" ht="42.45" hidden="1" x14ac:dyDescent="0.35">
      <c r="A17" s="4" t="s">
        <v>45</v>
      </c>
      <c r="C17" s="4">
        <v>1010</v>
      </c>
      <c r="D17" s="4">
        <v>6</v>
      </c>
      <c r="E17" s="12" t="s">
        <v>40</v>
      </c>
      <c r="F17" s="4">
        <v>2024</v>
      </c>
      <c r="G17" s="4" t="s">
        <v>32</v>
      </c>
      <c r="H17" s="4" t="s">
        <v>50</v>
      </c>
      <c r="I17" s="4" t="s">
        <v>37</v>
      </c>
      <c r="J17" s="4" t="s">
        <v>37</v>
      </c>
      <c r="K17" s="4" t="s">
        <v>244</v>
      </c>
      <c r="L17" s="6" t="s">
        <v>48</v>
      </c>
      <c r="M17" s="4" t="s">
        <v>41</v>
      </c>
      <c r="N17" s="4" t="s">
        <v>192</v>
      </c>
      <c r="O17" s="4">
        <v>13</v>
      </c>
      <c r="P17" s="4">
        <v>227</v>
      </c>
      <c r="S17" s="4">
        <v>128</v>
      </c>
      <c r="AA17" s="10">
        <v>44977</v>
      </c>
      <c r="AB17" s="4">
        <v>1783</v>
      </c>
    </row>
    <row r="18" spans="1:28" ht="42.45" hidden="1" x14ac:dyDescent="0.35">
      <c r="A18" s="4" t="s">
        <v>29</v>
      </c>
      <c r="C18" s="4">
        <v>1030</v>
      </c>
      <c r="D18" s="4">
        <v>1</v>
      </c>
      <c r="E18" s="12" t="s">
        <v>22</v>
      </c>
      <c r="F18" s="4">
        <v>2022</v>
      </c>
      <c r="G18" s="4" t="s">
        <v>32</v>
      </c>
      <c r="H18" s="4" t="s">
        <v>55</v>
      </c>
      <c r="I18" s="4" t="s">
        <v>37</v>
      </c>
      <c r="J18" s="4" t="s">
        <v>37</v>
      </c>
      <c r="K18" s="4" t="s">
        <v>244</v>
      </c>
      <c r="L18" s="6" t="s">
        <v>48</v>
      </c>
      <c r="M18" s="4" t="s">
        <v>37</v>
      </c>
      <c r="N18" s="4" t="s">
        <v>51</v>
      </c>
      <c r="O18" s="4">
        <f>ROUND(P18*T18/100,0)</f>
        <v>66</v>
      </c>
      <c r="P18" s="4">
        <v>179</v>
      </c>
      <c r="T18" s="4">
        <v>36.9</v>
      </c>
    </row>
    <row r="19" spans="1:28" ht="42.45" hidden="1" x14ac:dyDescent="0.35">
      <c r="A19" s="4" t="s">
        <v>29</v>
      </c>
      <c r="C19" s="4">
        <v>1030</v>
      </c>
      <c r="D19" s="4">
        <v>1</v>
      </c>
      <c r="E19" s="12" t="s">
        <v>22</v>
      </c>
      <c r="F19" s="4">
        <v>2022</v>
      </c>
      <c r="G19" s="4" t="s">
        <v>32</v>
      </c>
      <c r="H19" s="4" t="s">
        <v>55</v>
      </c>
      <c r="I19" s="4" t="s">
        <v>37</v>
      </c>
      <c r="J19" s="4" t="s">
        <v>37</v>
      </c>
      <c r="K19" s="4" t="s">
        <v>244</v>
      </c>
      <c r="L19" s="6" t="s">
        <v>48</v>
      </c>
      <c r="M19" s="4" t="s">
        <v>37</v>
      </c>
      <c r="N19" s="4" t="s">
        <v>192</v>
      </c>
      <c r="O19" s="4">
        <f>ROUND(P19*T19/100,0)</f>
        <v>16</v>
      </c>
      <c r="P19" s="4">
        <v>179</v>
      </c>
      <c r="S19" s="4">
        <v>358</v>
      </c>
      <c r="T19" s="4">
        <v>8.9</v>
      </c>
    </row>
    <row r="20" spans="1:28" ht="42.45" hidden="1" x14ac:dyDescent="0.35">
      <c r="A20" s="4" t="s">
        <v>45</v>
      </c>
      <c r="C20" s="4">
        <v>1130</v>
      </c>
      <c r="D20" s="4">
        <v>3</v>
      </c>
      <c r="E20" s="12" t="s">
        <v>46</v>
      </c>
      <c r="F20" s="4">
        <v>2023</v>
      </c>
      <c r="G20" s="4" t="s">
        <v>32</v>
      </c>
      <c r="H20" s="4" t="s">
        <v>47</v>
      </c>
      <c r="I20" s="4" t="s">
        <v>237</v>
      </c>
      <c r="J20" s="4" t="s">
        <v>56</v>
      </c>
      <c r="K20" s="4" t="s">
        <v>244</v>
      </c>
      <c r="L20" s="6" t="s">
        <v>48</v>
      </c>
      <c r="M20" s="4" t="s">
        <v>41</v>
      </c>
      <c r="N20" s="4" t="s">
        <v>49</v>
      </c>
      <c r="O20" s="4">
        <f t="shared" ref="O20:O27" si="1">P20*S20/100</f>
        <v>0</v>
      </c>
      <c r="S20" s="4">
        <v>16.2</v>
      </c>
    </row>
    <row r="21" spans="1:28" ht="42.45" hidden="1" x14ac:dyDescent="0.35">
      <c r="A21" s="4" t="s">
        <v>45</v>
      </c>
      <c r="C21" s="4">
        <v>1130</v>
      </c>
      <c r="D21" s="4">
        <v>3</v>
      </c>
      <c r="E21" s="12" t="s">
        <v>46</v>
      </c>
      <c r="F21" s="4">
        <v>2023</v>
      </c>
      <c r="G21" s="4" t="s">
        <v>32</v>
      </c>
      <c r="H21" s="4" t="s">
        <v>47</v>
      </c>
      <c r="I21" s="4" t="s">
        <v>237</v>
      </c>
      <c r="J21" s="4" t="s">
        <v>56</v>
      </c>
      <c r="K21" s="4" t="s">
        <v>244</v>
      </c>
      <c r="L21" s="6" t="s">
        <v>48</v>
      </c>
      <c r="M21" s="4" t="s">
        <v>41</v>
      </c>
      <c r="N21" s="4" t="s">
        <v>192</v>
      </c>
      <c r="O21" s="4">
        <f t="shared" si="1"/>
        <v>0</v>
      </c>
      <c r="S21" s="4">
        <v>4.7</v>
      </c>
      <c r="W21" s="4">
        <v>382</v>
      </c>
    </row>
    <row r="22" spans="1:28" ht="42.45" x14ac:dyDescent="0.35">
      <c r="A22" s="4" t="s">
        <v>45</v>
      </c>
      <c r="C22" s="4">
        <v>1030</v>
      </c>
      <c r="D22" s="4">
        <v>1</v>
      </c>
      <c r="E22" s="12" t="s">
        <v>22</v>
      </c>
      <c r="F22" s="4">
        <v>2022</v>
      </c>
      <c r="G22" s="4" t="s">
        <v>32</v>
      </c>
      <c r="H22" s="4" t="s">
        <v>47</v>
      </c>
      <c r="I22" s="4" t="s">
        <v>57</v>
      </c>
      <c r="J22" s="4" t="s">
        <v>230</v>
      </c>
      <c r="K22" s="4" t="s">
        <v>244</v>
      </c>
      <c r="L22" s="6" t="s">
        <v>48</v>
      </c>
      <c r="M22" s="4" t="s">
        <v>37</v>
      </c>
      <c r="N22" s="4" t="s">
        <v>192</v>
      </c>
      <c r="O22" s="4">
        <f t="shared" si="1"/>
        <v>0</v>
      </c>
      <c r="P22" s="4">
        <v>83</v>
      </c>
      <c r="S22" s="4">
        <v>0</v>
      </c>
      <c r="Y22" s="4">
        <v>0</v>
      </c>
    </row>
    <row r="23" spans="1:28" ht="42.45" x14ac:dyDescent="0.35">
      <c r="A23" s="4" t="s">
        <v>45</v>
      </c>
      <c r="C23" s="4">
        <v>1030</v>
      </c>
      <c r="D23" s="4">
        <v>1</v>
      </c>
      <c r="E23" s="12" t="s">
        <v>22</v>
      </c>
      <c r="F23" s="4">
        <v>2022</v>
      </c>
      <c r="G23" s="4" t="s">
        <v>32</v>
      </c>
      <c r="H23" s="4" t="s">
        <v>47</v>
      </c>
      <c r="I23" s="4" t="s">
        <v>57</v>
      </c>
      <c r="J23" s="4" t="s">
        <v>54</v>
      </c>
      <c r="K23" s="4" t="s">
        <v>244</v>
      </c>
      <c r="L23" s="6" t="s">
        <v>48</v>
      </c>
      <c r="M23" s="4" t="s">
        <v>37</v>
      </c>
      <c r="N23" s="4" t="s">
        <v>51</v>
      </c>
      <c r="O23" s="4">
        <f t="shared" si="1"/>
        <v>25.016999999999999</v>
      </c>
      <c r="P23" s="4">
        <v>93</v>
      </c>
      <c r="S23" s="4">
        <v>26.9</v>
      </c>
      <c r="X23" s="4">
        <v>176</v>
      </c>
      <c r="Y23" s="4">
        <v>26.9</v>
      </c>
    </row>
    <row r="24" spans="1:28" ht="42.45" x14ac:dyDescent="0.35">
      <c r="A24" s="4" t="s">
        <v>45</v>
      </c>
      <c r="C24" s="4">
        <v>1020</v>
      </c>
      <c r="D24" s="4">
        <v>2</v>
      </c>
      <c r="E24" s="12" t="s">
        <v>52</v>
      </c>
      <c r="F24" s="4">
        <v>2024</v>
      </c>
      <c r="G24" s="4" t="s">
        <v>32</v>
      </c>
      <c r="H24" s="4" t="s">
        <v>47</v>
      </c>
      <c r="I24" s="4" t="s">
        <v>57</v>
      </c>
      <c r="J24" s="4" t="s">
        <v>54</v>
      </c>
      <c r="K24" s="4" t="s">
        <v>244</v>
      </c>
      <c r="L24" s="6" t="s">
        <v>48</v>
      </c>
      <c r="M24" s="4" t="s">
        <v>41</v>
      </c>
      <c r="N24" s="4" t="s">
        <v>231</v>
      </c>
      <c r="O24" s="4">
        <f t="shared" si="1"/>
        <v>26.01</v>
      </c>
      <c r="P24" s="4">
        <v>102</v>
      </c>
      <c r="S24" s="4">
        <v>25.5</v>
      </c>
    </row>
    <row r="25" spans="1:28" ht="42.45" x14ac:dyDescent="0.35">
      <c r="A25" s="4" t="s">
        <v>45</v>
      </c>
      <c r="C25" s="4">
        <v>1020</v>
      </c>
      <c r="D25" s="4">
        <v>2</v>
      </c>
      <c r="E25" s="12" t="s">
        <v>52</v>
      </c>
      <c r="F25" s="4">
        <v>2024</v>
      </c>
      <c r="G25" s="4" t="s">
        <v>32</v>
      </c>
      <c r="H25" s="4" t="s">
        <v>47</v>
      </c>
      <c r="I25" s="4" t="s">
        <v>57</v>
      </c>
      <c r="J25" s="4" t="s">
        <v>54</v>
      </c>
      <c r="K25" s="4" t="s">
        <v>244</v>
      </c>
      <c r="L25" s="6" t="s">
        <v>48</v>
      </c>
      <c r="M25" s="4" t="s">
        <v>41</v>
      </c>
      <c r="N25" s="4" t="s">
        <v>232</v>
      </c>
      <c r="O25" s="4">
        <f t="shared" si="1"/>
        <v>4</v>
      </c>
      <c r="P25" s="4">
        <v>100</v>
      </c>
      <c r="S25" s="4">
        <v>4</v>
      </c>
    </row>
    <row r="26" spans="1:28" ht="42.45" hidden="1" x14ac:dyDescent="0.35">
      <c r="A26" s="4" t="s">
        <v>45</v>
      </c>
      <c r="C26" s="4">
        <v>1130</v>
      </c>
      <c r="D26" s="4">
        <v>3</v>
      </c>
      <c r="E26" s="12" t="s">
        <v>46</v>
      </c>
      <c r="F26" s="4">
        <v>2023</v>
      </c>
      <c r="G26" s="4" t="s">
        <v>32</v>
      </c>
      <c r="H26" s="4" t="s">
        <v>47</v>
      </c>
      <c r="I26" s="4" t="s">
        <v>58</v>
      </c>
      <c r="J26" s="4" t="s">
        <v>59</v>
      </c>
      <c r="K26" s="4" t="s">
        <v>244</v>
      </c>
      <c r="L26" s="6" t="s">
        <v>48</v>
      </c>
      <c r="M26" s="4" t="s">
        <v>41</v>
      </c>
      <c r="N26" s="4" t="s">
        <v>49</v>
      </c>
      <c r="O26" s="4">
        <f t="shared" si="1"/>
        <v>14.022</v>
      </c>
      <c r="P26" s="4">
        <v>114</v>
      </c>
      <c r="S26" s="4">
        <v>12.3</v>
      </c>
    </row>
    <row r="27" spans="1:28" ht="42.45" hidden="1" x14ac:dyDescent="0.35">
      <c r="A27" s="4" t="s">
        <v>45</v>
      </c>
      <c r="C27" s="4">
        <v>1130</v>
      </c>
      <c r="D27" s="4">
        <v>3</v>
      </c>
      <c r="E27" s="12" t="s">
        <v>46</v>
      </c>
      <c r="F27" s="4">
        <v>2023</v>
      </c>
      <c r="G27" s="4" t="s">
        <v>32</v>
      </c>
      <c r="H27" s="4" t="s">
        <v>47</v>
      </c>
      <c r="I27" s="4" t="s">
        <v>58</v>
      </c>
      <c r="J27" s="4" t="s">
        <v>59</v>
      </c>
      <c r="K27" s="4" t="s">
        <v>244</v>
      </c>
      <c r="L27" s="6" t="s">
        <v>48</v>
      </c>
      <c r="M27" s="4" t="s">
        <v>41</v>
      </c>
      <c r="N27" s="4" t="s">
        <v>192</v>
      </c>
      <c r="O27" s="4">
        <f t="shared" si="1"/>
        <v>2.9760000000000004</v>
      </c>
      <c r="P27" s="4">
        <v>96</v>
      </c>
      <c r="S27" s="4">
        <v>3.1</v>
      </c>
      <c r="W27" s="4">
        <v>210</v>
      </c>
    </row>
    <row r="28" spans="1:28" ht="42.45" x14ac:dyDescent="0.35">
      <c r="A28" s="4" t="s">
        <v>45</v>
      </c>
      <c r="C28" s="4">
        <v>1010</v>
      </c>
      <c r="D28" s="4">
        <v>6</v>
      </c>
      <c r="E28" s="12" t="s">
        <v>40</v>
      </c>
      <c r="F28" s="4">
        <v>2024</v>
      </c>
      <c r="G28" s="4" t="s">
        <v>32</v>
      </c>
      <c r="H28" s="4" t="s">
        <v>50</v>
      </c>
      <c r="I28" s="4" t="s">
        <v>57</v>
      </c>
      <c r="J28" s="4" t="s">
        <v>54</v>
      </c>
      <c r="K28" s="4" t="s">
        <v>244</v>
      </c>
      <c r="L28" s="6" t="s">
        <v>48</v>
      </c>
      <c r="M28" s="4" t="s">
        <v>41</v>
      </c>
      <c r="N28" s="4" t="s">
        <v>42</v>
      </c>
      <c r="O28" s="4">
        <v>51</v>
      </c>
      <c r="P28" s="4">
        <v>143</v>
      </c>
      <c r="AA28" s="10">
        <v>44977</v>
      </c>
      <c r="AB28" s="4">
        <v>1783</v>
      </c>
    </row>
    <row r="29" spans="1:28" ht="42.45" x14ac:dyDescent="0.35">
      <c r="A29" s="4" t="s">
        <v>45</v>
      </c>
      <c r="C29" s="4">
        <v>1010</v>
      </c>
      <c r="D29" s="4">
        <v>6</v>
      </c>
      <c r="E29" s="12" t="s">
        <v>40</v>
      </c>
      <c r="F29" s="4">
        <v>2024</v>
      </c>
      <c r="G29" s="4" t="s">
        <v>32</v>
      </c>
      <c r="H29" s="4" t="s">
        <v>50</v>
      </c>
      <c r="I29" s="4" t="s">
        <v>57</v>
      </c>
      <c r="J29" s="4" t="s">
        <v>54</v>
      </c>
      <c r="K29" s="4" t="s">
        <v>244</v>
      </c>
      <c r="L29" s="6" t="s">
        <v>48</v>
      </c>
      <c r="M29" s="4" t="s">
        <v>41</v>
      </c>
      <c r="N29" s="4" t="s">
        <v>192</v>
      </c>
      <c r="O29" s="4">
        <v>7</v>
      </c>
      <c r="P29" s="4">
        <v>129</v>
      </c>
      <c r="AA29" s="10">
        <v>44977</v>
      </c>
      <c r="AB29" s="4">
        <v>1783</v>
      </c>
    </row>
    <row r="30" spans="1:28" ht="42.45" hidden="1" x14ac:dyDescent="0.35">
      <c r="A30" s="4" t="s">
        <v>45</v>
      </c>
      <c r="C30" s="4">
        <v>1100</v>
      </c>
      <c r="D30" s="4">
        <v>4</v>
      </c>
      <c r="E30" s="12" t="s">
        <v>24</v>
      </c>
      <c r="F30" s="4">
        <v>2024</v>
      </c>
      <c r="G30" s="4" t="s">
        <v>32</v>
      </c>
      <c r="H30" s="4" t="s">
        <v>50</v>
      </c>
      <c r="I30" s="4" t="s">
        <v>37</v>
      </c>
      <c r="J30" s="4" t="s">
        <v>37</v>
      </c>
      <c r="K30" s="4" t="s">
        <v>244</v>
      </c>
      <c r="L30" s="6" t="s">
        <v>48</v>
      </c>
      <c r="M30" s="4" t="s">
        <v>41</v>
      </c>
      <c r="N30" s="4" t="s">
        <v>60</v>
      </c>
      <c r="O30" s="7">
        <v>72</v>
      </c>
      <c r="P30" s="4">
        <v>397</v>
      </c>
    </row>
    <row r="31" spans="1:28" ht="42.45" hidden="1" x14ac:dyDescent="0.35">
      <c r="A31" s="4" t="s">
        <v>45</v>
      </c>
      <c r="C31" s="4">
        <v>1100</v>
      </c>
      <c r="D31" s="4">
        <v>4</v>
      </c>
      <c r="E31" s="12" t="s">
        <v>24</v>
      </c>
      <c r="F31" s="4">
        <v>2024</v>
      </c>
      <c r="G31" s="4" t="s">
        <v>32</v>
      </c>
      <c r="H31" s="4" t="s">
        <v>50</v>
      </c>
      <c r="I31" s="4" t="s">
        <v>37</v>
      </c>
      <c r="J31" s="4" t="s">
        <v>37</v>
      </c>
      <c r="K31" s="4" t="s">
        <v>244</v>
      </c>
      <c r="L31" s="6" t="s">
        <v>48</v>
      </c>
      <c r="M31" s="4" t="s">
        <v>41</v>
      </c>
      <c r="N31" s="4" t="s">
        <v>192</v>
      </c>
      <c r="O31" s="7">
        <v>16</v>
      </c>
      <c r="P31" s="4">
        <v>400</v>
      </c>
    </row>
    <row r="32" spans="1:28" ht="42.45" hidden="1" x14ac:dyDescent="0.35">
      <c r="A32" s="4" t="s">
        <v>45</v>
      </c>
      <c r="C32" s="4">
        <v>1120</v>
      </c>
      <c r="D32" s="4">
        <v>5</v>
      </c>
      <c r="E32" s="12" t="s">
        <v>31</v>
      </c>
      <c r="F32" s="4">
        <v>2024</v>
      </c>
      <c r="G32" s="4" t="s">
        <v>32</v>
      </c>
      <c r="H32" s="4" t="s">
        <v>61</v>
      </c>
      <c r="I32" s="4" t="s">
        <v>37</v>
      </c>
      <c r="J32" s="4" t="s">
        <v>37</v>
      </c>
      <c r="K32" s="4" t="s">
        <v>244</v>
      </c>
      <c r="L32" s="6" t="s">
        <v>48</v>
      </c>
      <c r="M32" s="4" t="s">
        <v>41</v>
      </c>
      <c r="N32" s="4" t="s">
        <v>38</v>
      </c>
      <c r="O32" s="4">
        <f>P32*S32/100</f>
        <v>355.52</v>
      </c>
      <c r="P32" s="4">
        <v>202</v>
      </c>
      <c r="S32" s="4">
        <v>176</v>
      </c>
      <c r="U32" s="4">
        <v>31.7</v>
      </c>
    </row>
    <row r="33" spans="1:28" ht="42.45" hidden="1" x14ac:dyDescent="0.35">
      <c r="A33" s="4" t="s">
        <v>45</v>
      </c>
      <c r="C33" s="4">
        <v>1120</v>
      </c>
      <c r="D33" s="4">
        <v>5</v>
      </c>
      <c r="E33" s="12" t="s">
        <v>31</v>
      </c>
      <c r="F33" s="4">
        <v>2024</v>
      </c>
      <c r="G33" s="4" t="s">
        <v>32</v>
      </c>
      <c r="H33" s="4" t="s">
        <v>61</v>
      </c>
      <c r="I33" s="4" t="s">
        <v>37</v>
      </c>
      <c r="J33" s="4" t="s">
        <v>37</v>
      </c>
      <c r="K33" s="4" t="s">
        <v>244</v>
      </c>
      <c r="L33" s="6" t="s">
        <v>48</v>
      </c>
      <c r="M33" s="4" t="s">
        <v>41</v>
      </c>
      <c r="N33" s="4" t="s">
        <v>192</v>
      </c>
      <c r="O33" s="4">
        <f>P33*S33/100</f>
        <v>642.36</v>
      </c>
      <c r="P33" s="4">
        <v>202</v>
      </c>
      <c r="S33" s="4">
        <v>318</v>
      </c>
      <c r="T33" s="4">
        <v>10</v>
      </c>
      <c r="U33" s="4">
        <v>10</v>
      </c>
    </row>
    <row r="34" spans="1:28" ht="42.45" x14ac:dyDescent="0.35">
      <c r="A34" s="4" t="s">
        <v>45</v>
      </c>
      <c r="C34" s="4">
        <v>1030</v>
      </c>
      <c r="D34" s="4">
        <v>1</v>
      </c>
      <c r="E34" s="12" t="s">
        <v>22</v>
      </c>
      <c r="F34" s="4">
        <v>2022</v>
      </c>
      <c r="G34" s="4" t="s">
        <v>32</v>
      </c>
      <c r="H34" s="4" t="s">
        <v>55</v>
      </c>
      <c r="I34" s="4" t="s">
        <v>57</v>
      </c>
      <c r="J34" s="4" t="s">
        <v>56</v>
      </c>
      <c r="K34" s="4" t="s">
        <v>244</v>
      </c>
      <c r="L34" s="6" t="s">
        <v>48</v>
      </c>
      <c r="M34" s="4" t="s">
        <v>37</v>
      </c>
      <c r="N34" s="4" t="s">
        <v>51</v>
      </c>
      <c r="O34" s="4">
        <f>P34*T34/100</f>
        <v>27.004000000000001</v>
      </c>
      <c r="P34" s="4">
        <v>86</v>
      </c>
      <c r="T34" s="4">
        <v>31.4</v>
      </c>
    </row>
    <row r="35" spans="1:28" ht="42.45" x14ac:dyDescent="0.35">
      <c r="A35" s="4" t="s">
        <v>45</v>
      </c>
      <c r="C35" s="4">
        <v>1030</v>
      </c>
      <c r="D35" s="4">
        <v>1</v>
      </c>
      <c r="E35" s="12" t="s">
        <v>22</v>
      </c>
      <c r="F35" s="4">
        <v>2022</v>
      </c>
      <c r="G35" s="4" t="s">
        <v>32</v>
      </c>
      <c r="H35" s="4" t="s">
        <v>55</v>
      </c>
      <c r="I35" s="4" t="s">
        <v>57</v>
      </c>
      <c r="J35" s="4" t="s">
        <v>56</v>
      </c>
      <c r="K35" s="4" t="s">
        <v>244</v>
      </c>
      <c r="L35" s="6" t="s">
        <v>48</v>
      </c>
      <c r="M35" s="4" t="s">
        <v>37</v>
      </c>
      <c r="N35" s="4" t="s">
        <v>192</v>
      </c>
      <c r="O35" s="4">
        <f>P35*T35/100</f>
        <v>11.04</v>
      </c>
      <c r="P35" s="4">
        <v>96</v>
      </c>
      <c r="S35" s="4">
        <v>182</v>
      </c>
      <c r="T35" s="4">
        <v>11.5</v>
      </c>
    </row>
    <row r="36" spans="1:28" ht="42.45" hidden="1" x14ac:dyDescent="0.35">
      <c r="A36" s="4" t="s">
        <v>45</v>
      </c>
      <c r="C36" s="4">
        <v>1130</v>
      </c>
      <c r="D36" s="4">
        <v>3</v>
      </c>
      <c r="E36" s="12" t="s">
        <v>46</v>
      </c>
      <c r="F36" s="4">
        <v>2023</v>
      </c>
      <c r="G36" s="4" t="s">
        <v>32</v>
      </c>
      <c r="H36" s="4" t="s">
        <v>55</v>
      </c>
      <c r="I36" s="4" t="s">
        <v>37</v>
      </c>
      <c r="J36" s="4" t="s">
        <v>37</v>
      </c>
      <c r="K36" s="4" t="s">
        <v>244</v>
      </c>
      <c r="L36" s="6" t="s">
        <v>48</v>
      </c>
      <c r="M36" s="4" t="s">
        <v>37</v>
      </c>
      <c r="N36" s="4" t="s">
        <v>49</v>
      </c>
      <c r="O36" s="4">
        <f>P36*V36/100</f>
        <v>121.87799999999999</v>
      </c>
      <c r="P36" s="4">
        <v>366</v>
      </c>
      <c r="S36" s="4">
        <v>178</v>
      </c>
      <c r="V36" s="4">
        <v>33.299999999999997</v>
      </c>
    </row>
    <row r="37" spans="1:28" ht="42.45" hidden="1" x14ac:dyDescent="0.35">
      <c r="A37" s="4" t="s">
        <v>45</v>
      </c>
      <c r="C37" s="4">
        <v>1130</v>
      </c>
      <c r="D37" s="4">
        <v>3</v>
      </c>
      <c r="E37" s="12" t="s">
        <v>46</v>
      </c>
      <c r="F37" s="4">
        <v>2023</v>
      </c>
      <c r="G37" s="4" t="s">
        <v>32</v>
      </c>
      <c r="H37" s="4" t="s">
        <v>55</v>
      </c>
      <c r="I37" s="4" t="s">
        <v>37</v>
      </c>
      <c r="J37" s="4" t="s">
        <v>37</v>
      </c>
      <c r="K37" s="4" t="s">
        <v>244</v>
      </c>
      <c r="L37" s="6" t="s">
        <v>48</v>
      </c>
      <c r="M37" s="4" t="s">
        <v>37</v>
      </c>
      <c r="N37" s="4" t="s">
        <v>192</v>
      </c>
      <c r="O37" s="4">
        <f>P37*V37/100</f>
        <v>46.001999999999995</v>
      </c>
      <c r="P37" s="4">
        <v>374</v>
      </c>
      <c r="S37" s="4">
        <v>98</v>
      </c>
      <c r="V37" s="4">
        <v>12.3</v>
      </c>
      <c r="W37" s="4">
        <v>740</v>
      </c>
    </row>
    <row r="38" spans="1:28" ht="42.45" hidden="1" x14ac:dyDescent="0.35">
      <c r="A38" s="4" t="s">
        <v>45</v>
      </c>
      <c r="C38" s="4">
        <v>1010</v>
      </c>
      <c r="D38" s="4">
        <v>6</v>
      </c>
      <c r="E38" s="12" t="s">
        <v>62</v>
      </c>
      <c r="F38" s="4">
        <v>2024</v>
      </c>
      <c r="G38" s="4" t="s">
        <v>32</v>
      </c>
      <c r="H38" s="4" t="s">
        <v>55</v>
      </c>
      <c r="I38" s="4" t="s">
        <v>37</v>
      </c>
      <c r="J38" s="4" t="s">
        <v>37</v>
      </c>
      <c r="K38" s="4" t="s">
        <v>244</v>
      </c>
      <c r="L38" s="6" t="s">
        <v>48</v>
      </c>
      <c r="M38" s="4" t="s">
        <v>41</v>
      </c>
      <c r="N38" s="4" t="s">
        <v>42</v>
      </c>
      <c r="O38" s="4">
        <f>P38*S38/100</f>
        <v>126.56</v>
      </c>
      <c r="P38" s="4">
        <v>226</v>
      </c>
      <c r="S38" s="4">
        <v>56</v>
      </c>
      <c r="AA38" s="10">
        <v>44977</v>
      </c>
      <c r="AB38" s="4">
        <v>1783</v>
      </c>
    </row>
    <row r="39" spans="1:28" ht="42.45" hidden="1" x14ac:dyDescent="0.35">
      <c r="A39" s="4" t="s">
        <v>45</v>
      </c>
      <c r="C39" s="4">
        <v>1010</v>
      </c>
      <c r="D39" s="4">
        <v>6</v>
      </c>
      <c r="E39" s="12" t="s">
        <v>40</v>
      </c>
      <c r="F39" s="4">
        <v>2024</v>
      </c>
      <c r="G39" s="4" t="s">
        <v>32</v>
      </c>
      <c r="H39" s="4" t="s">
        <v>55</v>
      </c>
      <c r="I39" s="4" t="s">
        <v>37</v>
      </c>
      <c r="J39" s="4" t="s">
        <v>37</v>
      </c>
      <c r="K39" s="4" t="s">
        <v>244</v>
      </c>
      <c r="L39" s="6" t="s">
        <v>48</v>
      </c>
      <c r="M39" s="4" t="s">
        <v>41</v>
      </c>
      <c r="N39" s="4" t="s">
        <v>192</v>
      </c>
      <c r="O39" s="4">
        <f>P39*S39/100</f>
        <v>34.049999999999997</v>
      </c>
      <c r="P39" s="4">
        <v>227</v>
      </c>
      <c r="S39" s="4">
        <v>15</v>
      </c>
      <c r="AA39" s="10">
        <v>44977</v>
      </c>
      <c r="AB39" s="4">
        <v>1783</v>
      </c>
    </row>
    <row r="40" spans="1:28" ht="42.45" hidden="1" x14ac:dyDescent="0.35">
      <c r="A40" s="4" t="s">
        <v>45</v>
      </c>
      <c r="C40" s="4">
        <v>1100</v>
      </c>
      <c r="D40" s="4">
        <v>4</v>
      </c>
      <c r="E40" s="12" t="s">
        <v>24</v>
      </c>
      <c r="F40" s="4">
        <v>2024</v>
      </c>
      <c r="G40" s="4" t="s">
        <v>32</v>
      </c>
      <c r="H40" s="4" t="s">
        <v>55</v>
      </c>
      <c r="I40" s="4" t="s">
        <v>37</v>
      </c>
      <c r="J40" s="4" t="s">
        <v>37</v>
      </c>
      <c r="K40" s="4" t="s">
        <v>244</v>
      </c>
      <c r="L40" s="6" t="s">
        <v>48</v>
      </c>
      <c r="M40" s="4" t="s">
        <v>41</v>
      </c>
      <c r="N40" s="4" t="s">
        <v>60</v>
      </c>
      <c r="O40" s="7">
        <v>120</v>
      </c>
      <c r="P40" s="4">
        <v>397</v>
      </c>
    </row>
    <row r="41" spans="1:28" ht="42.45" hidden="1" x14ac:dyDescent="0.35">
      <c r="A41" s="4" t="s">
        <v>45</v>
      </c>
      <c r="C41" s="4">
        <v>1100</v>
      </c>
      <c r="D41" s="4">
        <v>4</v>
      </c>
      <c r="E41" s="12" t="s">
        <v>24</v>
      </c>
      <c r="F41" s="4">
        <v>2024</v>
      </c>
      <c r="G41" s="4" t="s">
        <v>32</v>
      </c>
      <c r="H41" s="4" t="s">
        <v>55</v>
      </c>
      <c r="I41" s="4" t="s">
        <v>37</v>
      </c>
      <c r="J41" s="4" t="s">
        <v>37</v>
      </c>
      <c r="K41" s="4" t="s">
        <v>244</v>
      </c>
      <c r="L41" s="6" t="s">
        <v>48</v>
      </c>
      <c r="M41" s="4" t="s">
        <v>41</v>
      </c>
      <c r="N41" s="4" t="s">
        <v>192</v>
      </c>
      <c r="O41" s="7">
        <v>44</v>
      </c>
      <c r="P41" s="4">
        <v>400</v>
      </c>
    </row>
    <row r="42" spans="1:28" ht="42.45" hidden="1" x14ac:dyDescent="0.35">
      <c r="A42" s="4" t="s">
        <v>45</v>
      </c>
      <c r="C42" s="4">
        <v>1020</v>
      </c>
      <c r="D42" s="4">
        <v>2</v>
      </c>
      <c r="E42" s="12" t="s">
        <v>52</v>
      </c>
      <c r="F42" s="4">
        <v>2024</v>
      </c>
      <c r="G42" s="4" t="s">
        <v>32</v>
      </c>
      <c r="H42" s="4" t="s">
        <v>55</v>
      </c>
      <c r="I42" s="4" t="s">
        <v>41</v>
      </c>
      <c r="J42" s="4" t="s">
        <v>41</v>
      </c>
      <c r="K42" s="4" t="s">
        <v>244</v>
      </c>
      <c r="L42" s="6" t="s">
        <v>48</v>
      </c>
      <c r="M42" s="4" t="s">
        <v>41</v>
      </c>
      <c r="N42" s="4" t="s">
        <v>53</v>
      </c>
      <c r="O42" s="7">
        <v>81</v>
      </c>
      <c r="P42" s="4">
        <v>229</v>
      </c>
    </row>
    <row r="43" spans="1:28" ht="42.45" hidden="1" x14ac:dyDescent="0.35">
      <c r="A43" s="4" t="s">
        <v>45</v>
      </c>
      <c r="C43" s="4">
        <v>1020</v>
      </c>
      <c r="D43" s="4">
        <v>2</v>
      </c>
      <c r="E43" s="12" t="s">
        <v>52</v>
      </c>
      <c r="F43" s="4">
        <v>2024</v>
      </c>
      <c r="G43" s="4" t="s">
        <v>32</v>
      </c>
      <c r="H43" s="4" t="s">
        <v>55</v>
      </c>
      <c r="I43" s="4" t="s">
        <v>41</v>
      </c>
      <c r="J43" s="4" t="s">
        <v>41</v>
      </c>
      <c r="K43" s="4" t="s">
        <v>244</v>
      </c>
      <c r="L43" s="6" t="s">
        <v>48</v>
      </c>
      <c r="M43" s="4" t="s">
        <v>41</v>
      </c>
      <c r="N43" s="4" t="s">
        <v>192</v>
      </c>
      <c r="O43" s="7">
        <v>28</v>
      </c>
      <c r="P43" s="4">
        <v>232</v>
      </c>
    </row>
    <row r="44" spans="1:28" ht="42.45" hidden="1" x14ac:dyDescent="0.35">
      <c r="A44" s="4" t="s">
        <v>29</v>
      </c>
      <c r="C44" s="4">
        <v>1120</v>
      </c>
      <c r="D44" s="4">
        <v>5</v>
      </c>
      <c r="E44" s="12" t="s">
        <v>31</v>
      </c>
      <c r="F44" s="4">
        <v>2024</v>
      </c>
      <c r="G44" s="4" t="s">
        <v>32</v>
      </c>
      <c r="H44" s="4" t="s">
        <v>55</v>
      </c>
      <c r="I44" s="4" t="s">
        <v>37</v>
      </c>
      <c r="J44" s="4" t="s">
        <v>37</v>
      </c>
      <c r="K44" s="4" t="s">
        <v>244</v>
      </c>
      <c r="L44" s="6" t="s">
        <v>48</v>
      </c>
      <c r="M44" s="4" t="s">
        <v>41</v>
      </c>
      <c r="N44" s="4" t="s">
        <v>38</v>
      </c>
      <c r="O44" s="4">
        <f t="shared" ref="O44:O51" si="2">P44*S44/100</f>
        <v>97.97</v>
      </c>
      <c r="P44" s="4">
        <v>202</v>
      </c>
      <c r="S44" s="4">
        <v>48.5</v>
      </c>
    </row>
    <row r="45" spans="1:28" ht="42.45" hidden="1" x14ac:dyDescent="0.35">
      <c r="A45" s="4" t="s">
        <v>29</v>
      </c>
      <c r="C45" s="4">
        <v>1120</v>
      </c>
      <c r="D45" s="4">
        <v>5</v>
      </c>
      <c r="E45" s="12" t="s">
        <v>31</v>
      </c>
      <c r="F45" s="4">
        <v>2024</v>
      </c>
      <c r="G45" s="4" t="s">
        <v>32</v>
      </c>
      <c r="H45" s="4" t="s">
        <v>55</v>
      </c>
      <c r="I45" s="4" t="s">
        <v>37</v>
      </c>
      <c r="J45" s="4" t="s">
        <v>37</v>
      </c>
      <c r="K45" s="4" t="s">
        <v>244</v>
      </c>
      <c r="L45" s="6" t="s">
        <v>48</v>
      </c>
      <c r="M45" s="4" t="s">
        <v>41</v>
      </c>
      <c r="N45" s="4" t="s">
        <v>192</v>
      </c>
      <c r="O45" s="4">
        <f t="shared" si="2"/>
        <v>16.968000000000004</v>
      </c>
      <c r="P45" s="4">
        <v>202</v>
      </c>
      <c r="S45" s="4">
        <v>8.4</v>
      </c>
    </row>
    <row r="46" spans="1:28" ht="42.45" x14ac:dyDescent="0.35">
      <c r="A46" s="4" t="s">
        <v>45</v>
      </c>
      <c r="C46" s="4">
        <v>1030</v>
      </c>
      <c r="D46" s="4">
        <v>1</v>
      </c>
      <c r="E46" s="12" t="s">
        <v>22</v>
      </c>
      <c r="F46" s="4">
        <v>2022</v>
      </c>
      <c r="G46" s="4" t="s">
        <v>32</v>
      </c>
      <c r="H46" s="4" t="s">
        <v>47</v>
      </c>
      <c r="I46" s="4" t="s">
        <v>57</v>
      </c>
      <c r="J46" s="4" t="s">
        <v>56</v>
      </c>
      <c r="K46" s="4" t="s">
        <v>244</v>
      </c>
      <c r="L46" s="6" t="s">
        <v>48</v>
      </c>
      <c r="M46" s="4" t="s">
        <v>37</v>
      </c>
      <c r="N46" s="4" t="s">
        <v>192</v>
      </c>
      <c r="O46" s="4">
        <f t="shared" si="2"/>
        <v>4.032</v>
      </c>
      <c r="P46" s="4">
        <v>96</v>
      </c>
      <c r="S46" s="4">
        <v>4.2</v>
      </c>
    </row>
    <row r="47" spans="1:28" ht="42.45" x14ac:dyDescent="0.35">
      <c r="A47" s="4" t="s">
        <v>45</v>
      </c>
      <c r="C47" s="4">
        <v>1030</v>
      </c>
      <c r="D47" s="4">
        <v>1</v>
      </c>
      <c r="E47" s="12" t="s">
        <v>22</v>
      </c>
      <c r="F47" s="4">
        <v>2022</v>
      </c>
      <c r="G47" s="4" t="s">
        <v>32</v>
      </c>
      <c r="H47" s="4" t="s">
        <v>47</v>
      </c>
      <c r="I47" s="4" t="s">
        <v>57</v>
      </c>
      <c r="J47" s="4" t="s">
        <v>56</v>
      </c>
      <c r="K47" s="4" t="s">
        <v>244</v>
      </c>
      <c r="L47" s="6" t="s">
        <v>48</v>
      </c>
      <c r="M47" s="4" t="s">
        <v>37</v>
      </c>
      <c r="N47" s="4" t="s">
        <v>51</v>
      </c>
      <c r="O47" s="4">
        <f t="shared" si="2"/>
        <v>17.974</v>
      </c>
      <c r="P47" s="4">
        <v>86</v>
      </c>
      <c r="S47" s="4">
        <v>20.9</v>
      </c>
      <c r="X47" s="4">
        <v>182</v>
      </c>
    </row>
    <row r="48" spans="1:28" ht="42.45" x14ac:dyDescent="0.35">
      <c r="A48" s="4" t="s">
        <v>45</v>
      </c>
      <c r="C48" s="4">
        <v>1020</v>
      </c>
      <c r="D48" s="4">
        <v>2</v>
      </c>
      <c r="E48" s="12" t="s">
        <v>52</v>
      </c>
      <c r="F48" s="4">
        <v>2024</v>
      </c>
      <c r="G48" s="4" t="s">
        <v>32</v>
      </c>
      <c r="H48" s="4" t="s">
        <v>47</v>
      </c>
      <c r="I48" s="4" t="s">
        <v>57</v>
      </c>
      <c r="J48" s="4" t="s">
        <v>56</v>
      </c>
      <c r="K48" s="4" t="s">
        <v>244</v>
      </c>
      <c r="L48" s="6" t="s">
        <v>48</v>
      </c>
      <c r="M48" s="4" t="s">
        <v>41</v>
      </c>
      <c r="N48" s="4" t="s">
        <v>53</v>
      </c>
      <c r="O48" s="4">
        <f t="shared" si="2"/>
        <v>32.003999999999998</v>
      </c>
      <c r="P48" s="4">
        <v>127</v>
      </c>
      <c r="S48" s="4">
        <v>25.2</v>
      </c>
    </row>
    <row r="49" spans="1:28" ht="42.45" x14ac:dyDescent="0.35">
      <c r="A49" s="4" t="s">
        <v>45</v>
      </c>
      <c r="C49" s="4">
        <v>1020</v>
      </c>
      <c r="D49" s="4">
        <v>2</v>
      </c>
      <c r="E49" s="12" t="s">
        <v>52</v>
      </c>
      <c r="F49" s="4">
        <v>2024</v>
      </c>
      <c r="G49" s="4" t="s">
        <v>32</v>
      </c>
      <c r="H49" s="4" t="s">
        <v>47</v>
      </c>
      <c r="I49" s="4" t="s">
        <v>57</v>
      </c>
      <c r="J49" s="4" t="s">
        <v>56</v>
      </c>
      <c r="K49" s="4" t="s">
        <v>244</v>
      </c>
      <c r="L49" s="6" t="s">
        <v>48</v>
      </c>
      <c r="M49" s="4" t="s">
        <v>41</v>
      </c>
      <c r="N49" s="4" t="s">
        <v>192</v>
      </c>
      <c r="O49" s="4">
        <f t="shared" si="2"/>
        <v>6.9960000000000004</v>
      </c>
      <c r="P49" s="4">
        <v>132</v>
      </c>
      <c r="S49" s="4">
        <v>5.3</v>
      </c>
    </row>
    <row r="50" spans="1:28" ht="42.45" hidden="1" x14ac:dyDescent="0.35">
      <c r="A50" s="4" t="s">
        <v>45</v>
      </c>
      <c r="C50" s="4">
        <v>1130</v>
      </c>
      <c r="D50" s="4">
        <v>3</v>
      </c>
      <c r="E50" s="12" t="s">
        <v>46</v>
      </c>
      <c r="F50" s="4">
        <v>2023</v>
      </c>
      <c r="G50" s="4" t="s">
        <v>32</v>
      </c>
      <c r="H50" s="4" t="s">
        <v>47</v>
      </c>
      <c r="I50" s="4" t="s">
        <v>58</v>
      </c>
      <c r="J50" s="4" t="s">
        <v>63</v>
      </c>
      <c r="K50" s="4" t="s">
        <v>244</v>
      </c>
      <c r="L50" s="6" t="s">
        <v>48</v>
      </c>
      <c r="M50" s="4" t="s">
        <v>41</v>
      </c>
      <c r="N50" s="4" t="s">
        <v>49</v>
      </c>
      <c r="O50" s="4">
        <f t="shared" si="2"/>
        <v>48.887999999999991</v>
      </c>
      <c r="P50" s="4">
        <v>252</v>
      </c>
      <c r="S50" s="4">
        <v>19.399999999999999</v>
      </c>
    </row>
    <row r="51" spans="1:28" ht="42.45" hidden="1" x14ac:dyDescent="0.35">
      <c r="A51" s="4" t="s">
        <v>45</v>
      </c>
      <c r="C51" s="4">
        <v>1130</v>
      </c>
      <c r="D51" s="4">
        <v>3</v>
      </c>
      <c r="E51" s="12" t="s">
        <v>46</v>
      </c>
      <c r="F51" s="4">
        <v>2023</v>
      </c>
      <c r="G51" s="4" t="s">
        <v>32</v>
      </c>
      <c r="H51" s="4" t="s">
        <v>47</v>
      </c>
      <c r="I51" s="4" t="s">
        <v>58</v>
      </c>
      <c r="J51" s="4" t="s">
        <v>63</v>
      </c>
      <c r="K51" s="4" t="s">
        <v>244</v>
      </c>
      <c r="L51" s="6" t="s">
        <v>48</v>
      </c>
      <c r="M51" s="4" t="s">
        <v>41</v>
      </c>
      <c r="N51" s="4" t="s">
        <v>192</v>
      </c>
      <c r="O51" s="4">
        <f t="shared" si="2"/>
        <v>13.066000000000001</v>
      </c>
      <c r="P51" s="4">
        <v>278</v>
      </c>
      <c r="S51" s="4">
        <v>4.7</v>
      </c>
      <c r="W51" s="4">
        <v>530</v>
      </c>
    </row>
    <row r="52" spans="1:28" ht="42.45" x14ac:dyDescent="0.35">
      <c r="A52" s="4" t="s">
        <v>45</v>
      </c>
      <c r="C52" s="4">
        <v>1030</v>
      </c>
      <c r="D52" s="4">
        <v>1</v>
      </c>
      <c r="E52" s="12" t="s">
        <v>22</v>
      </c>
      <c r="F52" s="4">
        <v>2022</v>
      </c>
      <c r="G52" s="4" t="s">
        <v>32</v>
      </c>
      <c r="H52" s="4" t="s">
        <v>55</v>
      </c>
      <c r="I52" s="4" t="s">
        <v>57</v>
      </c>
      <c r="J52" s="4" t="s">
        <v>54</v>
      </c>
      <c r="K52" s="4" t="s">
        <v>244</v>
      </c>
      <c r="L52" s="6" t="s">
        <v>48</v>
      </c>
      <c r="M52" s="4" t="s">
        <v>37</v>
      </c>
      <c r="N52" s="4" t="s">
        <v>51</v>
      </c>
      <c r="O52" s="4">
        <f>P52*T52/100</f>
        <v>38.966999999999999</v>
      </c>
      <c r="P52" s="4">
        <v>93</v>
      </c>
      <c r="T52" s="4">
        <v>41.9</v>
      </c>
    </row>
    <row r="53" spans="1:28" ht="42.45" x14ac:dyDescent="0.35">
      <c r="A53" s="4" t="s">
        <v>45</v>
      </c>
      <c r="C53" s="4">
        <v>1030</v>
      </c>
      <c r="D53" s="4">
        <v>1</v>
      </c>
      <c r="E53" s="12" t="s">
        <v>22</v>
      </c>
      <c r="F53" s="4">
        <v>2022</v>
      </c>
      <c r="G53" s="4" t="s">
        <v>32</v>
      </c>
      <c r="H53" s="4" t="s">
        <v>55</v>
      </c>
      <c r="I53" s="4" t="s">
        <v>57</v>
      </c>
      <c r="J53" s="4" t="s">
        <v>54</v>
      </c>
      <c r="K53" s="4" t="s">
        <v>244</v>
      </c>
      <c r="L53" s="6" t="s">
        <v>48</v>
      </c>
      <c r="M53" s="4" t="s">
        <v>37</v>
      </c>
      <c r="N53" s="4" t="s">
        <v>192</v>
      </c>
      <c r="O53" s="4">
        <f>P53*T53/100</f>
        <v>4.9800000000000004</v>
      </c>
      <c r="P53" s="4">
        <v>83</v>
      </c>
      <c r="S53" s="4">
        <v>176</v>
      </c>
      <c r="T53" s="4">
        <v>6</v>
      </c>
    </row>
    <row r="54" spans="1:28" ht="42.45" hidden="1" x14ac:dyDescent="0.35">
      <c r="A54" s="4" t="s">
        <v>45</v>
      </c>
      <c r="C54" s="4">
        <v>1030</v>
      </c>
      <c r="D54" s="4">
        <v>1</v>
      </c>
      <c r="E54" s="12" t="s">
        <v>22</v>
      </c>
      <c r="F54" s="4">
        <v>2022</v>
      </c>
      <c r="G54" s="4" t="s">
        <v>32</v>
      </c>
      <c r="H54" s="4" t="s">
        <v>47</v>
      </c>
      <c r="I54" s="4" t="s">
        <v>58</v>
      </c>
      <c r="J54" s="4" t="s">
        <v>59</v>
      </c>
      <c r="K54" s="4" t="s">
        <v>244</v>
      </c>
      <c r="L54" s="6" t="s">
        <v>48</v>
      </c>
      <c r="M54" s="4" t="s">
        <v>37</v>
      </c>
      <c r="N54" s="4" t="s">
        <v>192</v>
      </c>
      <c r="O54" s="4">
        <f t="shared" ref="O54:O59" si="3">P54*S54/100</f>
        <v>0.98799999999999999</v>
      </c>
      <c r="P54" s="4">
        <v>52</v>
      </c>
      <c r="S54" s="4">
        <v>1.9</v>
      </c>
    </row>
    <row r="55" spans="1:28" ht="42.45" hidden="1" x14ac:dyDescent="0.35">
      <c r="A55" s="4" t="s">
        <v>45</v>
      </c>
      <c r="C55" s="4">
        <v>1030</v>
      </c>
      <c r="D55" s="4">
        <v>1</v>
      </c>
      <c r="E55" s="12" t="s">
        <v>22</v>
      </c>
      <c r="F55" s="4">
        <v>2022</v>
      </c>
      <c r="G55" s="4" t="s">
        <v>32</v>
      </c>
      <c r="H55" s="4" t="s">
        <v>47</v>
      </c>
      <c r="I55" s="4" t="s">
        <v>58</v>
      </c>
      <c r="J55" s="4" t="s">
        <v>59</v>
      </c>
      <c r="K55" s="4" t="s">
        <v>244</v>
      </c>
      <c r="L55" s="6" t="s">
        <v>48</v>
      </c>
      <c r="M55" s="4" t="s">
        <v>37</v>
      </c>
      <c r="N55" s="4" t="s">
        <v>51</v>
      </c>
      <c r="O55" s="4">
        <f t="shared" si="3"/>
        <v>14.025</v>
      </c>
      <c r="P55" s="4">
        <v>51</v>
      </c>
      <c r="S55" s="4">
        <v>27.5</v>
      </c>
      <c r="X55" s="4">
        <v>103</v>
      </c>
    </row>
    <row r="56" spans="1:28" ht="42.45" hidden="1" x14ac:dyDescent="0.35">
      <c r="A56" s="4" t="s">
        <v>45</v>
      </c>
      <c r="C56" s="4">
        <v>1020</v>
      </c>
      <c r="D56" s="4">
        <v>2</v>
      </c>
      <c r="E56" s="12" t="s">
        <v>52</v>
      </c>
      <c r="F56" s="4">
        <v>2024</v>
      </c>
      <c r="G56" s="4" t="s">
        <v>32</v>
      </c>
      <c r="H56" s="4" t="s">
        <v>47</v>
      </c>
      <c r="I56" s="4" t="s">
        <v>58</v>
      </c>
      <c r="J56" s="4" t="s">
        <v>59</v>
      </c>
      <c r="K56" s="4" t="s">
        <v>244</v>
      </c>
      <c r="L56" s="6" t="s">
        <v>48</v>
      </c>
      <c r="M56" s="4" t="s">
        <v>41</v>
      </c>
      <c r="N56" s="4" t="s">
        <v>53</v>
      </c>
      <c r="O56" s="4">
        <f t="shared" si="3"/>
        <v>13.02</v>
      </c>
      <c r="P56" s="4">
        <v>62</v>
      </c>
      <c r="S56" s="4">
        <v>21</v>
      </c>
    </row>
    <row r="57" spans="1:28" ht="42.45" hidden="1" x14ac:dyDescent="0.35">
      <c r="A57" s="4" t="s">
        <v>45</v>
      </c>
      <c r="C57" s="4">
        <v>1020</v>
      </c>
      <c r="D57" s="4">
        <v>2</v>
      </c>
      <c r="E57" s="12" t="s">
        <v>52</v>
      </c>
      <c r="F57" s="4">
        <v>2024</v>
      </c>
      <c r="G57" s="4" t="s">
        <v>32</v>
      </c>
      <c r="H57" s="4" t="s">
        <v>47</v>
      </c>
      <c r="I57" s="4" t="s">
        <v>58</v>
      </c>
      <c r="J57" s="4" t="s">
        <v>59</v>
      </c>
      <c r="K57" s="4" t="s">
        <v>244</v>
      </c>
      <c r="L57" s="6" t="s">
        <v>48</v>
      </c>
      <c r="M57" s="4" t="s">
        <v>41</v>
      </c>
      <c r="N57" s="4" t="s">
        <v>192</v>
      </c>
      <c r="O57" s="4">
        <f t="shared" si="3"/>
        <v>3.0240000000000005</v>
      </c>
      <c r="P57" s="4">
        <v>72</v>
      </c>
      <c r="S57" s="4">
        <v>4.2</v>
      </c>
    </row>
    <row r="58" spans="1:28" ht="42.45" hidden="1" x14ac:dyDescent="0.35">
      <c r="A58" s="4" t="s">
        <v>45</v>
      </c>
      <c r="C58" s="4">
        <v>1130</v>
      </c>
      <c r="D58" s="4">
        <v>3</v>
      </c>
      <c r="E58" s="12" t="s">
        <v>46</v>
      </c>
      <c r="F58" s="4">
        <v>2023</v>
      </c>
      <c r="G58" s="4" t="s">
        <v>32</v>
      </c>
      <c r="H58" s="4" t="s">
        <v>47</v>
      </c>
      <c r="I58" s="4" t="s">
        <v>64</v>
      </c>
      <c r="J58" s="4">
        <v>0</v>
      </c>
      <c r="K58" s="4" t="s">
        <v>244</v>
      </c>
      <c r="L58" s="6" t="s">
        <v>48</v>
      </c>
      <c r="M58" s="4" t="s">
        <v>41</v>
      </c>
      <c r="N58" s="4" t="s">
        <v>49</v>
      </c>
      <c r="O58" s="4">
        <f t="shared" si="3"/>
        <v>41.917000000000002</v>
      </c>
      <c r="P58" s="4">
        <v>251</v>
      </c>
      <c r="S58" s="4">
        <v>16.7</v>
      </c>
    </row>
    <row r="59" spans="1:28" ht="42.45" hidden="1" x14ac:dyDescent="0.35">
      <c r="A59" s="4" t="s">
        <v>45</v>
      </c>
      <c r="C59" s="4">
        <v>1130</v>
      </c>
      <c r="D59" s="4">
        <v>3</v>
      </c>
      <c r="E59" s="12" t="s">
        <v>46</v>
      </c>
      <c r="F59" s="4">
        <v>2023</v>
      </c>
      <c r="G59" s="4" t="s">
        <v>32</v>
      </c>
      <c r="H59" s="4" t="s">
        <v>47</v>
      </c>
      <c r="I59" s="4" t="s">
        <v>64</v>
      </c>
      <c r="J59" s="4">
        <v>0</v>
      </c>
      <c r="K59" s="4" t="s">
        <v>244</v>
      </c>
      <c r="L59" s="6" t="s">
        <v>48</v>
      </c>
      <c r="M59" s="4" t="s">
        <v>41</v>
      </c>
      <c r="N59" s="4" t="s">
        <v>192</v>
      </c>
      <c r="O59" s="4">
        <f t="shared" si="3"/>
        <v>13.005000000000001</v>
      </c>
      <c r="P59" s="4">
        <v>255</v>
      </c>
      <c r="S59" s="4">
        <v>5.0999999999999996</v>
      </c>
      <c r="W59" s="4">
        <v>506</v>
      </c>
    </row>
    <row r="60" spans="1:28" ht="42.45" x14ac:dyDescent="0.35">
      <c r="A60" s="4" t="s">
        <v>45</v>
      </c>
      <c r="C60" s="4">
        <v>1010</v>
      </c>
      <c r="D60" s="4">
        <v>6</v>
      </c>
      <c r="E60" s="12" t="s">
        <v>40</v>
      </c>
      <c r="F60" s="4">
        <v>2024</v>
      </c>
      <c r="G60" s="4" t="s">
        <v>32</v>
      </c>
      <c r="H60" s="4" t="s">
        <v>50</v>
      </c>
      <c r="I60" s="4" t="s">
        <v>57</v>
      </c>
      <c r="J60" s="4" t="s">
        <v>56</v>
      </c>
      <c r="K60" s="4" t="s">
        <v>244</v>
      </c>
      <c r="L60" s="6" t="s">
        <v>48</v>
      </c>
      <c r="M60" s="4" t="s">
        <v>41</v>
      </c>
      <c r="N60" s="4" t="s">
        <v>42</v>
      </c>
      <c r="O60" s="4">
        <v>41</v>
      </c>
      <c r="P60" s="4">
        <v>83</v>
      </c>
      <c r="AA60" s="10">
        <v>44977</v>
      </c>
      <c r="AB60" s="4">
        <v>1783</v>
      </c>
    </row>
    <row r="61" spans="1:28" ht="42.45" x14ac:dyDescent="0.35">
      <c r="A61" s="4" t="s">
        <v>45</v>
      </c>
      <c r="C61" s="4">
        <v>1010</v>
      </c>
      <c r="D61" s="4">
        <v>6</v>
      </c>
      <c r="E61" s="12" t="s">
        <v>40</v>
      </c>
      <c r="F61" s="4">
        <v>2024</v>
      </c>
      <c r="G61" s="4" t="s">
        <v>32</v>
      </c>
      <c r="H61" s="4" t="s">
        <v>50</v>
      </c>
      <c r="I61" s="4" t="s">
        <v>57</v>
      </c>
      <c r="J61" s="4" t="s">
        <v>56</v>
      </c>
      <c r="K61" s="4" t="s">
        <v>244</v>
      </c>
      <c r="L61" s="6" t="s">
        <v>48</v>
      </c>
      <c r="M61" s="4" t="s">
        <v>41</v>
      </c>
      <c r="N61" s="4" t="s">
        <v>192</v>
      </c>
      <c r="O61" s="4">
        <v>6</v>
      </c>
      <c r="P61" s="4">
        <v>98</v>
      </c>
      <c r="AA61" s="10">
        <v>44977</v>
      </c>
      <c r="AB61" s="4">
        <v>1783</v>
      </c>
    </row>
    <row r="62" spans="1:28" ht="42.45" hidden="1" x14ac:dyDescent="0.35">
      <c r="A62" s="4" t="s">
        <v>45</v>
      </c>
      <c r="C62" s="4">
        <v>1030</v>
      </c>
      <c r="D62" s="4">
        <v>1</v>
      </c>
      <c r="E62" s="12" t="s">
        <v>22</v>
      </c>
      <c r="F62" s="4">
        <v>2022</v>
      </c>
      <c r="G62" s="4" t="s">
        <v>32</v>
      </c>
      <c r="H62" s="4" t="s">
        <v>55</v>
      </c>
      <c r="I62" s="4" t="s">
        <v>58</v>
      </c>
      <c r="J62" s="4" t="s">
        <v>63</v>
      </c>
      <c r="K62" s="4" t="s">
        <v>244</v>
      </c>
      <c r="L62" s="6" t="s">
        <v>48</v>
      </c>
      <c r="M62" s="4" t="s">
        <v>37</v>
      </c>
      <c r="N62" s="4" t="s">
        <v>51</v>
      </c>
      <c r="O62" s="4">
        <f>P62*T62/100</f>
        <v>46.976000000000006</v>
      </c>
      <c r="P62" s="4">
        <v>128</v>
      </c>
      <c r="T62" s="4">
        <v>36.700000000000003</v>
      </c>
    </row>
    <row r="63" spans="1:28" ht="42.45" hidden="1" x14ac:dyDescent="0.35">
      <c r="A63" s="4" t="s">
        <v>45</v>
      </c>
      <c r="C63" s="4">
        <v>1030</v>
      </c>
      <c r="D63" s="4">
        <v>1</v>
      </c>
      <c r="E63" s="12" t="s">
        <v>22</v>
      </c>
      <c r="F63" s="4">
        <v>2022</v>
      </c>
      <c r="G63" s="4" t="s">
        <v>32</v>
      </c>
      <c r="H63" s="4" t="s">
        <v>55</v>
      </c>
      <c r="I63" s="4" t="s">
        <v>58</v>
      </c>
      <c r="J63" s="4" t="s">
        <v>63</v>
      </c>
      <c r="K63" s="4" t="s">
        <v>244</v>
      </c>
      <c r="L63" s="6" t="s">
        <v>48</v>
      </c>
      <c r="M63" s="4" t="s">
        <v>37</v>
      </c>
      <c r="N63" s="4" t="s">
        <v>192</v>
      </c>
      <c r="O63" s="4">
        <f>P63*T63/100</f>
        <v>10.033000000000001</v>
      </c>
      <c r="P63" s="4">
        <v>127</v>
      </c>
      <c r="S63" s="4">
        <v>255</v>
      </c>
      <c r="T63" s="4">
        <v>7.9</v>
      </c>
    </row>
    <row r="64" spans="1:28" ht="42.45" hidden="1" x14ac:dyDescent="0.35">
      <c r="A64" s="4" t="s">
        <v>45</v>
      </c>
      <c r="C64" s="4">
        <v>1130</v>
      </c>
      <c r="D64" s="4">
        <v>3</v>
      </c>
      <c r="E64" s="12" t="s">
        <v>46</v>
      </c>
      <c r="F64" s="4">
        <v>2023</v>
      </c>
      <c r="G64" s="4" t="s">
        <v>32</v>
      </c>
      <c r="H64" s="4" t="s">
        <v>47</v>
      </c>
      <c r="I64" s="4" t="s">
        <v>64</v>
      </c>
      <c r="J64" s="4">
        <v>1</v>
      </c>
      <c r="K64" s="4" t="s">
        <v>244</v>
      </c>
      <c r="L64" s="6" t="s">
        <v>48</v>
      </c>
      <c r="M64" s="4" t="s">
        <v>41</v>
      </c>
      <c r="N64" s="4" t="s">
        <v>49</v>
      </c>
      <c r="O64" s="4">
        <f t="shared" ref="O64:O71" si="4">P64*S64/100</f>
        <v>21.045000000000002</v>
      </c>
      <c r="P64" s="4">
        <v>115</v>
      </c>
      <c r="S64" s="4">
        <v>18.3</v>
      </c>
    </row>
    <row r="65" spans="1:28" ht="42.45" hidden="1" x14ac:dyDescent="0.35">
      <c r="A65" s="4" t="s">
        <v>45</v>
      </c>
      <c r="C65" s="4">
        <v>1130</v>
      </c>
      <c r="D65" s="4">
        <v>3</v>
      </c>
      <c r="E65" s="12" t="s">
        <v>46</v>
      </c>
      <c r="F65" s="4">
        <v>2023</v>
      </c>
      <c r="G65" s="4" t="s">
        <v>32</v>
      </c>
      <c r="H65" s="4" t="s">
        <v>47</v>
      </c>
      <c r="I65" s="4" t="s">
        <v>64</v>
      </c>
      <c r="J65" s="4">
        <v>1</v>
      </c>
      <c r="K65" s="4" t="s">
        <v>244</v>
      </c>
      <c r="L65" s="6" t="s">
        <v>48</v>
      </c>
      <c r="M65" s="4" t="s">
        <v>41</v>
      </c>
      <c r="N65" s="4" t="s">
        <v>192</v>
      </c>
      <c r="O65" s="4">
        <f t="shared" si="4"/>
        <v>2.9750000000000001</v>
      </c>
      <c r="P65" s="4">
        <v>119</v>
      </c>
      <c r="S65" s="4">
        <v>2.5</v>
      </c>
      <c r="W65" s="4">
        <v>234</v>
      </c>
    </row>
    <row r="66" spans="1:28" ht="42.45" hidden="1" x14ac:dyDescent="0.35">
      <c r="A66" s="4" t="s">
        <v>45</v>
      </c>
      <c r="C66" s="4">
        <v>1030</v>
      </c>
      <c r="D66" s="4">
        <v>1</v>
      </c>
      <c r="E66" s="12" t="s">
        <v>22</v>
      </c>
      <c r="F66" s="4">
        <v>2022</v>
      </c>
      <c r="G66" s="4" t="s">
        <v>32</v>
      </c>
      <c r="H66" s="4" t="s">
        <v>47</v>
      </c>
      <c r="I66" s="4" t="s">
        <v>58</v>
      </c>
      <c r="J66" s="4" t="s">
        <v>63</v>
      </c>
      <c r="K66" s="4" t="s">
        <v>244</v>
      </c>
      <c r="L66" s="6" t="s">
        <v>48</v>
      </c>
      <c r="M66" s="4" t="s">
        <v>37</v>
      </c>
      <c r="N66" s="4" t="s">
        <v>192</v>
      </c>
      <c r="O66" s="4">
        <f t="shared" si="4"/>
        <v>3.048</v>
      </c>
      <c r="P66" s="4">
        <v>127</v>
      </c>
      <c r="S66" s="4">
        <v>2.4</v>
      </c>
    </row>
    <row r="67" spans="1:28" ht="42.45" hidden="1" x14ac:dyDescent="0.35">
      <c r="A67" s="4" t="s">
        <v>45</v>
      </c>
      <c r="C67" s="4">
        <v>1030</v>
      </c>
      <c r="D67" s="4">
        <v>1</v>
      </c>
      <c r="E67" s="12" t="s">
        <v>22</v>
      </c>
      <c r="F67" s="4">
        <v>2022</v>
      </c>
      <c r="G67" s="4" t="s">
        <v>32</v>
      </c>
      <c r="H67" s="4" t="s">
        <v>47</v>
      </c>
      <c r="I67" s="4" t="s">
        <v>58</v>
      </c>
      <c r="J67" s="4" t="s">
        <v>63</v>
      </c>
      <c r="K67" s="4" t="s">
        <v>244</v>
      </c>
      <c r="L67" s="6" t="s">
        <v>48</v>
      </c>
      <c r="M67" s="4" t="s">
        <v>37</v>
      </c>
      <c r="N67" s="4" t="s">
        <v>51</v>
      </c>
      <c r="O67" s="4">
        <f t="shared" si="4"/>
        <v>29.055999999999997</v>
      </c>
      <c r="P67" s="4">
        <v>128</v>
      </c>
      <c r="S67" s="4">
        <v>22.7</v>
      </c>
      <c r="X67" s="4">
        <v>255</v>
      </c>
    </row>
    <row r="68" spans="1:28" ht="42.45" hidden="1" x14ac:dyDescent="0.35">
      <c r="A68" s="4" t="s">
        <v>45</v>
      </c>
      <c r="C68" s="4">
        <v>1020</v>
      </c>
      <c r="D68" s="4">
        <v>2</v>
      </c>
      <c r="E68" s="12" t="s">
        <v>52</v>
      </c>
      <c r="F68" s="4">
        <v>2024</v>
      </c>
      <c r="G68" s="4" t="s">
        <v>32</v>
      </c>
      <c r="H68" s="4" t="s">
        <v>47</v>
      </c>
      <c r="I68" s="4" t="s">
        <v>58</v>
      </c>
      <c r="J68" s="4" t="s">
        <v>63</v>
      </c>
      <c r="K68" s="4" t="s">
        <v>244</v>
      </c>
      <c r="L68" s="6" t="s">
        <v>48</v>
      </c>
      <c r="M68" s="4" t="s">
        <v>41</v>
      </c>
      <c r="N68" s="4" t="s">
        <v>53</v>
      </c>
      <c r="O68" s="4">
        <f t="shared" si="4"/>
        <v>44.923000000000002</v>
      </c>
      <c r="P68" s="4">
        <v>167</v>
      </c>
      <c r="S68" s="4">
        <v>26.9</v>
      </c>
    </row>
    <row r="69" spans="1:28" ht="42.45" hidden="1" x14ac:dyDescent="0.35">
      <c r="A69" s="4" t="s">
        <v>45</v>
      </c>
      <c r="C69" s="4">
        <v>1020</v>
      </c>
      <c r="D69" s="4">
        <v>2</v>
      </c>
      <c r="E69" s="12" t="s">
        <v>52</v>
      </c>
      <c r="F69" s="4">
        <v>2024</v>
      </c>
      <c r="G69" s="4" t="s">
        <v>32</v>
      </c>
      <c r="H69" s="4" t="s">
        <v>47</v>
      </c>
      <c r="I69" s="4" t="s">
        <v>58</v>
      </c>
      <c r="J69" s="4" t="s">
        <v>63</v>
      </c>
      <c r="K69" s="4" t="s">
        <v>244</v>
      </c>
      <c r="L69" s="6" t="s">
        <v>48</v>
      </c>
      <c r="M69" s="4" t="s">
        <v>41</v>
      </c>
      <c r="N69" s="4" t="s">
        <v>192</v>
      </c>
      <c r="O69" s="4">
        <f t="shared" si="4"/>
        <v>8</v>
      </c>
      <c r="P69" s="4">
        <v>160</v>
      </c>
      <c r="S69" s="4">
        <v>5</v>
      </c>
    </row>
    <row r="70" spans="1:28" ht="42.45" hidden="1" x14ac:dyDescent="0.35">
      <c r="A70" s="4" t="s">
        <v>45</v>
      </c>
      <c r="C70" s="4">
        <v>1130</v>
      </c>
      <c r="D70" s="4">
        <v>3</v>
      </c>
      <c r="E70" s="12" t="s">
        <v>46</v>
      </c>
      <c r="F70" s="4">
        <v>2023</v>
      </c>
      <c r="G70" s="4" t="s">
        <v>32</v>
      </c>
      <c r="H70" s="4" t="s">
        <v>47</v>
      </c>
      <c r="I70" s="4" t="s">
        <v>65</v>
      </c>
      <c r="J70" s="4" t="s">
        <v>66</v>
      </c>
      <c r="K70" s="4" t="s">
        <v>244</v>
      </c>
      <c r="L70" s="6" t="s">
        <v>48</v>
      </c>
      <c r="M70" s="4" t="s">
        <v>41</v>
      </c>
      <c r="N70" s="4" t="s">
        <v>49</v>
      </c>
      <c r="O70" s="4">
        <f t="shared" si="4"/>
        <v>26.026</v>
      </c>
      <c r="P70" s="4">
        <v>143</v>
      </c>
      <c r="S70" s="4">
        <v>18.2</v>
      </c>
    </row>
    <row r="71" spans="1:28" ht="42.45" hidden="1" x14ac:dyDescent="0.35">
      <c r="A71" s="4" t="s">
        <v>45</v>
      </c>
      <c r="C71" s="4">
        <v>1130</v>
      </c>
      <c r="D71" s="4">
        <v>3</v>
      </c>
      <c r="E71" s="12" t="s">
        <v>46</v>
      </c>
      <c r="F71" s="4">
        <v>2023</v>
      </c>
      <c r="G71" s="4" t="s">
        <v>32</v>
      </c>
      <c r="H71" s="4" t="s">
        <v>47</v>
      </c>
      <c r="I71" s="4" t="s">
        <v>65</v>
      </c>
      <c r="J71" s="4" t="s">
        <v>66</v>
      </c>
      <c r="K71" s="4" t="s">
        <v>244</v>
      </c>
      <c r="L71" s="6" t="s">
        <v>48</v>
      </c>
      <c r="M71" s="4" t="s">
        <v>41</v>
      </c>
      <c r="N71" s="4" t="s">
        <v>192</v>
      </c>
      <c r="O71" s="4">
        <f t="shared" si="4"/>
        <v>7.0519999999999996</v>
      </c>
      <c r="P71" s="4">
        <v>164</v>
      </c>
      <c r="S71" s="4">
        <v>4.3</v>
      </c>
      <c r="W71" s="4">
        <v>307</v>
      </c>
    </row>
    <row r="72" spans="1:28" ht="42.45" hidden="1" x14ac:dyDescent="0.35">
      <c r="A72" s="4" t="s">
        <v>45</v>
      </c>
      <c r="C72" s="4">
        <v>1010</v>
      </c>
      <c r="D72" s="4">
        <v>6</v>
      </c>
      <c r="E72" s="12" t="s">
        <v>40</v>
      </c>
      <c r="F72" s="4">
        <v>2024</v>
      </c>
      <c r="G72" s="4" t="s">
        <v>32</v>
      </c>
      <c r="H72" s="4" t="s">
        <v>50</v>
      </c>
      <c r="I72" s="4" t="s">
        <v>58</v>
      </c>
      <c r="J72" s="4" t="s">
        <v>59</v>
      </c>
      <c r="K72" s="4" t="s">
        <v>244</v>
      </c>
      <c r="L72" s="6" t="s">
        <v>48</v>
      </c>
      <c r="M72" s="4" t="s">
        <v>41</v>
      </c>
      <c r="N72" s="4" t="s">
        <v>42</v>
      </c>
      <c r="O72" s="4">
        <v>4</v>
      </c>
      <c r="P72" s="4">
        <v>21</v>
      </c>
      <c r="AA72" s="10">
        <v>44977</v>
      </c>
      <c r="AB72" s="4">
        <v>1783</v>
      </c>
    </row>
    <row r="73" spans="1:28" ht="42.45" hidden="1" x14ac:dyDescent="0.35">
      <c r="A73" s="4" t="s">
        <v>45</v>
      </c>
      <c r="C73" s="4">
        <v>1010</v>
      </c>
      <c r="D73" s="4">
        <v>6</v>
      </c>
      <c r="E73" s="12" t="s">
        <v>40</v>
      </c>
      <c r="F73" s="4">
        <v>2024</v>
      </c>
      <c r="G73" s="4" t="s">
        <v>32</v>
      </c>
      <c r="H73" s="4" t="s">
        <v>50</v>
      </c>
      <c r="I73" s="4" t="s">
        <v>58</v>
      </c>
      <c r="J73" s="4" t="s">
        <v>59</v>
      </c>
      <c r="K73" s="4" t="s">
        <v>244</v>
      </c>
      <c r="L73" s="6" t="s">
        <v>48</v>
      </c>
      <c r="M73" s="4" t="s">
        <v>41</v>
      </c>
      <c r="N73" s="4" t="s">
        <v>192</v>
      </c>
      <c r="O73" s="4">
        <v>2</v>
      </c>
      <c r="P73" s="4">
        <v>22</v>
      </c>
      <c r="AA73" s="10">
        <v>44977</v>
      </c>
      <c r="AB73" s="4">
        <v>1783</v>
      </c>
    </row>
    <row r="74" spans="1:28" ht="42.45" hidden="1" x14ac:dyDescent="0.35">
      <c r="A74" s="4" t="s">
        <v>45</v>
      </c>
      <c r="C74" s="4">
        <v>1030</v>
      </c>
      <c r="D74" s="4">
        <v>1</v>
      </c>
      <c r="E74" s="12" t="s">
        <v>22</v>
      </c>
      <c r="F74" s="4">
        <v>2022</v>
      </c>
      <c r="G74" s="4" t="s">
        <v>32</v>
      </c>
      <c r="H74" s="4" t="s">
        <v>55</v>
      </c>
      <c r="I74" s="4" t="s">
        <v>58</v>
      </c>
      <c r="J74" s="4" t="s">
        <v>59</v>
      </c>
      <c r="K74" s="4" t="s">
        <v>244</v>
      </c>
      <c r="L74" s="6" t="s">
        <v>48</v>
      </c>
      <c r="M74" s="4" t="s">
        <v>37</v>
      </c>
      <c r="N74" s="4" t="s">
        <v>51</v>
      </c>
      <c r="O74" s="4">
        <f>P74*T74/100</f>
        <v>19.023</v>
      </c>
      <c r="P74" s="4">
        <v>51</v>
      </c>
      <c r="T74" s="4">
        <v>37.299999999999997</v>
      </c>
    </row>
    <row r="75" spans="1:28" ht="42.45" hidden="1" x14ac:dyDescent="0.35">
      <c r="A75" s="4" t="s">
        <v>45</v>
      </c>
      <c r="C75" s="4">
        <v>1030</v>
      </c>
      <c r="D75" s="4">
        <v>1</v>
      </c>
      <c r="E75" s="12" t="s">
        <v>22</v>
      </c>
      <c r="F75" s="4">
        <v>2022</v>
      </c>
      <c r="G75" s="4" t="s">
        <v>32</v>
      </c>
      <c r="H75" s="4" t="s">
        <v>55</v>
      </c>
      <c r="I75" s="4" t="s">
        <v>58</v>
      </c>
      <c r="J75" s="4" t="s">
        <v>59</v>
      </c>
      <c r="K75" s="4" t="s">
        <v>244</v>
      </c>
      <c r="L75" s="6" t="s">
        <v>48</v>
      </c>
      <c r="M75" s="4" t="s">
        <v>37</v>
      </c>
      <c r="N75" s="4" t="s">
        <v>192</v>
      </c>
      <c r="O75" s="4">
        <f>P75*T75/100</f>
        <v>5.98</v>
      </c>
      <c r="P75" s="4">
        <v>52</v>
      </c>
      <c r="S75" s="4">
        <v>103</v>
      </c>
      <c r="T75" s="4">
        <v>11.5</v>
      </c>
    </row>
    <row r="76" spans="1:28" ht="42.45" hidden="1" x14ac:dyDescent="0.35">
      <c r="A76" s="4" t="s">
        <v>45</v>
      </c>
      <c r="C76" s="4">
        <v>1130</v>
      </c>
      <c r="D76" s="4">
        <v>3</v>
      </c>
      <c r="E76" s="12" t="s">
        <v>46</v>
      </c>
      <c r="F76" s="4">
        <v>2023</v>
      </c>
      <c r="G76" s="4" t="s">
        <v>32</v>
      </c>
      <c r="H76" s="4" t="s">
        <v>47</v>
      </c>
      <c r="I76" s="4" t="s">
        <v>65</v>
      </c>
      <c r="J76" s="4" t="s">
        <v>67</v>
      </c>
      <c r="K76" s="4" t="s">
        <v>244</v>
      </c>
      <c r="L76" s="6" t="s">
        <v>48</v>
      </c>
      <c r="M76" s="4" t="s">
        <v>41</v>
      </c>
      <c r="N76" s="4" t="s">
        <v>49</v>
      </c>
      <c r="O76" s="4">
        <f t="shared" ref="O76:O85" si="5">P76*S76/100</f>
        <v>37.018000000000001</v>
      </c>
      <c r="P76" s="4">
        <v>223</v>
      </c>
      <c r="S76" s="4">
        <v>16.600000000000001</v>
      </c>
      <c r="U76" s="4">
        <v>44.9</v>
      </c>
    </row>
    <row r="77" spans="1:28" ht="42.45" hidden="1" x14ac:dyDescent="0.35">
      <c r="A77" s="4" t="s">
        <v>45</v>
      </c>
      <c r="C77" s="4">
        <v>1130</v>
      </c>
      <c r="D77" s="4">
        <v>3</v>
      </c>
      <c r="E77" s="12" t="s">
        <v>46</v>
      </c>
      <c r="F77" s="4">
        <v>2023</v>
      </c>
      <c r="G77" s="4" t="s">
        <v>32</v>
      </c>
      <c r="H77" s="4" t="s">
        <v>47</v>
      </c>
      <c r="I77" s="4" t="s">
        <v>65</v>
      </c>
      <c r="J77" s="4" t="s">
        <v>67</v>
      </c>
      <c r="K77" s="4" t="s">
        <v>244</v>
      </c>
      <c r="L77" s="6" t="s">
        <v>48</v>
      </c>
      <c r="M77" s="4" t="s">
        <v>41</v>
      </c>
      <c r="N77" s="4" t="s">
        <v>192</v>
      </c>
      <c r="O77" s="4">
        <f t="shared" si="5"/>
        <v>5.16</v>
      </c>
      <c r="P77" s="4">
        <v>120</v>
      </c>
      <c r="S77" s="4">
        <v>4.3</v>
      </c>
      <c r="T77" s="4">
        <v>5.6</v>
      </c>
      <c r="U77" s="4">
        <v>5.6</v>
      </c>
      <c r="W77" s="4">
        <v>433</v>
      </c>
    </row>
    <row r="78" spans="1:28" ht="42.45" hidden="1" x14ac:dyDescent="0.35">
      <c r="A78" s="4" t="s">
        <v>45</v>
      </c>
      <c r="C78" s="4">
        <v>1130</v>
      </c>
      <c r="D78" s="4">
        <v>3</v>
      </c>
      <c r="E78" s="12" t="s">
        <v>46</v>
      </c>
      <c r="F78" s="4">
        <v>2023</v>
      </c>
      <c r="G78" s="4" t="s">
        <v>32</v>
      </c>
      <c r="H78" s="4" t="s">
        <v>47</v>
      </c>
      <c r="I78" s="4" t="s">
        <v>68</v>
      </c>
      <c r="J78" s="4" t="s">
        <v>69</v>
      </c>
      <c r="K78" s="4" t="s">
        <v>244</v>
      </c>
      <c r="L78" s="6" t="s">
        <v>48</v>
      </c>
      <c r="M78" s="4" t="s">
        <v>41</v>
      </c>
      <c r="N78" s="4" t="s">
        <v>49</v>
      </c>
      <c r="O78" s="4">
        <f t="shared" si="5"/>
        <v>25.986000000000001</v>
      </c>
      <c r="P78" s="4">
        <v>142</v>
      </c>
      <c r="S78" s="4">
        <v>18.3</v>
      </c>
    </row>
    <row r="79" spans="1:28" ht="42.45" hidden="1" x14ac:dyDescent="0.35">
      <c r="A79" s="4" t="s">
        <v>45</v>
      </c>
      <c r="C79" s="4">
        <v>1130</v>
      </c>
      <c r="D79" s="4">
        <v>3</v>
      </c>
      <c r="E79" s="12" t="s">
        <v>46</v>
      </c>
      <c r="F79" s="4">
        <v>2023</v>
      </c>
      <c r="G79" s="4" t="s">
        <v>32</v>
      </c>
      <c r="H79" s="4" t="s">
        <v>47</v>
      </c>
      <c r="I79" s="4" t="s">
        <v>68</v>
      </c>
      <c r="J79" s="4" t="s">
        <v>69</v>
      </c>
      <c r="K79" s="4" t="s">
        <v>244</v>
      </c>
      <c r="L79" s="6" t="s">
        <v>48</v>
      </c>
      <c r="M79" s="4" t="s">
        <v>41</v>
      </c>
      <c r="N79" s="4" t="s">
        <v>192</v>
      </c>
      <c r="O79" s="4">
        <f t="shared" si="5"/>
        <v>7.0089999999999995</v>
      </c>
      <c r="P79" s="4">
        <v>163</v>
      </c>
      <c r="S79" s="4">
        <v>4.3</v>
      </c>
      <c r="W79" s="4">
        <v>305</v>
      </c>
    </row>
    <row r="80" spans="1:28" ht="42.45" hidden="1" x14ac:dyDescent="0.35">
      <c r="A80" s="4" t="s">
        <v>45</v>
      </c>
      <c r="C80" s="4">
        <v>1030</v>
      </c>
      <c r="D80" s="4">
        <v>1</v>
      </c>
      <c r="E80" s="12" t="s">
        <v>22</v>
      </c>
      <c r="F80" s="4">
        <v>2022</v>
      </c>
      <c r="G80" s="4" t="s">
        <v>32</v>
      </c>
      <c r="H80" s="4" t="s">
        <v>47</v>
      </c>
      <c r="I80" s="4" t="s">
        <v>68</v>
      </c>
      <c r="J80" s="4" t="s">
        <v>69</v>
      </c>
      <c r="K80" s="4" t="s">
        <v>244</v>
      </c>
      <c r="L80" s="6" t="s">
        <v>48</v>
      </c>
      <c r="M80" s="4" t="s">
        <v>37</v>
      </c>
      <c r="N80" s="4" t="s">
        <v>192</v>
      </c>
      <c r="O80" s="4">
        <f t="shared" si="5"/>
        <v>3.0359999999999996</v>
      </c>
      <c r="P80" s="4">
        <v>92</v>
      </c>
      <c r="S80" s="4">
        <v>3.3</v>
      </c>
    </row>
    <row r="81" spans="1:28" ht="42.45" hidden="1" x14ac:dyDescent="0.35">
      <c r="A81" s="4" t="s">
        <v>45</v>
      </c>
      <c r="C81" s="4">
        <v>1030</v>
      </c>
      <c r="D81" s="4">
        <v>1</v>
      </c>
      <c r="E81" s="12" t="s">
        <v>22</v>
      </c>
      <c r="F81" s="4">
        <v>2022</v>
      </c>
      <c r="G81" s="4" t="s">
        <v>32</v>
      </c>
      <c r="H81" s="4" t="s">
        <v>47</v>
      </c>
      <c r="I81" s="4" t="s">
        <v>68</v>
      </c>
      <c r="J81" s="4" t="s">
        <v>69</v>
      </c>
      <c r="K81" s="4" t="s">
        <v>244</v>
      </c>
      <c r="L81" s="6" t="s">
        <v>48</v>
      </c>
      <c r="M81" s="4" t="s">
        <v>37</v>
      </c>
      <c r="N81" s="4" t="s">
        <v>51</v>
      </c>
      <c r="O81" s="4">
        <f t="shared" si="5"/>
        <v>23.97</v>
      </c>
      <c r="P81" s="4">
        <v>85</v>
      </c>
      <c r="S81" s="4">
        <v>28.2</v>
      </c>
      <c r="X81" s="4">
        <v>177</v>
      </c>
    </row>
    <row r="82" spans="1:28" ht="42.45" hidden="1" x14ac:dyDescent="0.35">
      <c r="A82" s="4" t="s">
        <v>45</v>
      </c>
      <c r="C82" s="4">
        <v>1020</v>
      </c>
      <c r="D82" s="4">
        <v>2</v>
      </c>
      <c r="E82" s="12" t="s">
        <v>52</v>
      </c>
      <c r="F82" s="4">
        <v>2024</v>
      </c>
      <c r="G82" s="4" t="s">
        <v>32</v>
      </c>
      <c r="H82" s="4" t="s">
        <v>47</v>
      </c>
      <c r="I82" s="4" t="s">
        <v>68</v>
      </c>
      <c r="J82" s="4" t="s">
        <v>69</v>
      </c>
      <c r="K82" s="4" t="s">
        <v>244</v>
      </c>
      <c r="L82" s="6" t="s">
        <v>48</v>
      </c>
      <c r="M82" s="4" t="s">
        <v>41</v>
      </c>
      <c r="N82" s="4" t="s">
        <v>53</v>
      </c>
      <c r="O82" s="4">
        <f t="shared" si="5"/>
        <v>23.984999999999999</v>
      </c>
      <c r="P82" s="4">
        <v>65</v>
      </c>
      <c r="S82" s="4">
        <v>36.9</v>
      </c>
    </row>
    <row r="83" spans="1:28" ht="42.45" hidden="1" x14ac:dyDescent="0.35">
      <c r="A83" s="4" t="s">
        <v>45</v>
      </c>
      <c r="C83" s="4">
        <v>1020</v>
      </c>
      <c r="D83" s="4">
        <v>2</v>
      </c>
      <c r="E83" s="12" t="s">
        <v>52</v>
      </c>
      <c r="F83" s="4">
        <v>2024</v>
      </c>
      <c r="G83" s="4" t="s">
        <v>32</v>
      </c>
      <c r="H83" s="4" t="s">
        <v>47</v>
      </c>
      <c r="I83" s="4" t="s">
        <v>68</v>
      </c>
      <c r="J83" s="4" t="s">
        <v>69</v>
      </c>
      <c r="K83" s="4" t="s">
        <v>244</v>
      </c>
      <c r="L83" s="6" t="s">
        <v>48</v>
      </c>
      <c r="M83" s="4" t="s">
        <v>41</v>
      </c>
      <c r="N83" s="4" t="s">
        <v>192</v>
      </c>
      <c r="O83" s="4">
        <f t="shared" si="5"/>
        <v>1</v>
      </c>
      <c r="P83" s="4">
        <v>50</v>
      </c>
      <c r="S83" s="4">
        <v>2</v>
      </c>
    </row>
    <row r="84" spans="1:28" ht="42.45" hidden="1" x14ac:dyDescent="0.35">
      <c r="A84" s="4" t="s">
        <v>45</v>
      </c>
      <c r="C84" s="4">
        <v>1130</v>
      </c>
      <c r="D84" s="4">
        <v>3</v>
      </c>
      <c r="E84" s="12" t="s">
        <v>46</v>
      </c>
      <c r="F84" s="4">
        <v>2023</v>
      </c>
      <c r="G84" s="4" t="s">
        <v>32</v>
      </c>
      <c r="H84" s="4" t="s">
        <v>47</v>
      </c>
      <c r="I84" s="4" t="s">
        <v>68</v>
      </c>
      <c r="J84" s="4" t="s">
        <v>70</v>
      </c>
      <c r="K84" s="4" t="s">
        <v>244</v>
      </c>
      <c r="L84" s="6" t="s">
        <v>48</v>
      </c>
      <c r="M84" s="4" t="s">
        <v>41</v>
      </c>
      <c r="N84" s="4" t="s">
        <v>49</v>
      </c>
      <c r="O84" s="4">
        <f t="shared" si="5"/>
        <v>28.058999999999997</v>
      </c>
      <c r="P84" s="4">
        <v>141</v>
      </c>
      <c r="S84" s="4">
        <v>19.899999999999999</v>
      </c>
    </row>
    <row r="85" spans="1:28" ht="42.45" hidden="1" x14ac:dyDescent="0.35">
      <c r="A85" s="4" t="s">
        <v>45</v>
      </c>
      <c r="C85" s="4">
        <v>1130</v>
      </c>
      <c r="D85" s="4">
        <v>3</v>
      </c>
      <c r="E85" s="12" t="s">
        <v>46</v>
      </c>
      <c r="F85" s="4">
        <v>2023</v>
      </c>
      <c r="G85" s="4" t="s">
        <v>32</v>
      </c>
      <c r="H85" s="4" t="s">
        <v>47</v>
      </c>
      <c r="I85" s="4" t="s">
        <v>68</v>
      </c>
      <c r="J85" s="4" t="s">
        <v>70</v>
      </c>
      <c r="K85" s="4" t="s">
        <v>244</v>
      </c>
      <c r="L85" s="6" t="s">
        <v>48</v>
      </c>
      <c r="M85" s="4" t="s">
        <v>41</v>
      </c>
      <c r="N85" s="4" t="s">
        <v>192</v>
      </c>
      <c r="O85" s="4">
        <f t="shared" si="5"/>
        <v>7</v>
      </c>
      <c r="P85" s="4">
        <v>140</v>
      </c>
      <c r="S85" s="4">
        <v>5</v>
      </c>
      <c r="W85" s="4">
        <v>281</v>
      </c>
    </row>
    <row r="86" spans="1:28" ht="42.45" hidden="1" x14ac:dyDescent="0.35">
      <c r="A86" s="4" t="s">
        <v>45</v>
      </c>
      <c r="C86" s="4">
        <v>1010</v>
      </c>
      <c r="D86" s="4">
        <v>6</v>
      </c>
      <c r="E86" s="12" t="s">
        <v>40</v>
      </c>
      <c r="F86" s="4">
        <v>2024</v>
      </c>
      <c r="G86" s="4" t="s">
        <v>32</v>
      </c>
      <c r="H86" s="4" t="s">
        <v>50</v>
      </c>
      <c r="I86" s="4" t="s">
        <v>58</v>
      </c>
      <c r="J86" s="4" t="s">
        <v>63</v>
      </c>
      <c r="K86" s="4" t="s">
        <v>244</v>
      </c>
      <c r="L86" s="6" t="s">
        <v>48</v>
      </c>
      <c r="M86" s="4" t="s">
        <v>41</v>
      </c>
      <c r="N86" s="4" t="s">
        <v>42</v>
      </c>
      <c r="O86" s="4">
        <v>88</v>
      </c>
      <c r="P86" s="4">
        <v>205</v>
      </c>
      <c r="AA86" s="10">
        <v>44977</v>
      </c>
      <c r="AB86" s="4">
        <v>1783</v>
      </c>
    </row>
    <row r="87" spans="1:28" ht="42.45" hidden="1" x14ac:dyDescent="0.35">
      <c r="A87" s="4" t="s">
        <v>45</v>
      </c>
      <c r="C87" s="4">
        <v>1010</v>
      </c>
      <c r="D87" s="4">
        <v>6</v>
      </c>
      <c r="E87" s="12" t="s">
        <v>40</v>
      </c>
      <c r="F87" s="4">
        <v>2024</v>
      </c>
      <c r="G87" s="4" t="s">
        <v>32</v>
      </c>
      <c r="H87" s="4" t="s">
        <v>50</v>
      </c>
      <c r="I87" s="4" t="s">
        <v>58</v>
      </c>
      <c r="J87" s="4" t="s">
        <v>63</v>
      </c>
      <c r="K87" s="4" t="s">
        <v>244</v>
      </c>
      <c r="L87" s="6" t="s">
        <v>48</v>
      </c>
      <c r="M87" s="4" t="s">
        <v>41</v>
      </c>
      <c r="N87" s="4" t="s">
        <v>192</v>
      </c>
      <c r="O87" s="4">
        <v>11</v>
      </c>
      <c r="P87" s="4">
        <v>205</v>
      </c>
      <c r="AA87" s="10">
        <v>44977</v>
      </c>
      <c r="AB87" s="4">
        <v>1783</v>
      </c>
    </row>
    <row r="88" spans="1:28" ht="42.45" hidden="1" x14ac:dyDescent="0.35">
      <c r="A88" s="4" t="s">
        <v>45</v>
      </c>
      <c r="C88" s="4">
        <v>1030</v>
      </c>
      <c r="D88" s="4">
        <v>1</v>
      </c>
      <c r="E88" s="12" t="s">
        <v>22</v>
      </c>
      <c r="F88" s="4">
        <v>2022</v>
      </c>
      <c r="G88" s="4" t="s">
        <v>32</v>
      </c>
      <c r="H88" s="4" t="s">
        <v>55</v>
      </c>
      <c r="I88" s="4" t="s">
        <v>68</v>
      </c>
      <c r="J88" s="4" t="s">
        <v>71</v>
      </c>
      <c r="K88" s="4" t="s">
        <v>244</v>
      </c>
      <c r="L88" s="6" t="s">
        <v>48</v>
      </c>
      <c r="M88" s="4" t="s">
        <v>37</v>
      </c>
      <c r="N88" s="4" t="s">
        <v>51</v>
      </c>
      <c r="O88" s="4">
        <f>P88*T88/100</f>
        <v>12.997</v>
      </c>
      <c r="P88" s="4">
        <v>41</v>
      </c>
      <c r="T88" s="4">
        <v>31.7</v>
      </c>
    </row>
    <row r="89" spans="1:28" ht="42.45" hidden="1" x14ac:dyDescent="0.35">
      <c r="A89" s="4" t="s">
        <v>45</v>
      </c>
      <c r="C89" s="4">
        <v>1030</v>
      </c>
      <c r="D89" s="4">
        <v>1</v>
      </c>
      <c r="E89" s="12" t="s">
        <v>22</v>
      </c>
      <c r="F89" s="4">
        <v>2022</v>
      </c>
      <c r="G89" s="4" t="s">
        <v>32</v>
      </c>
      <c r="H89" s="4" t="s">
        <v>55</v>
      </c>
      <c r="I89" s="4" t="s">
        <v>68</v>
      </c>
      <c r="J89" s="4" t="s">
        <v>71</v>
      </c>
      <c r="K89" s="4" t="s">
        <v>244</v>
      </c>
      <c r="L89" s="6" t="s">
        <v>48</v>
      </c>
      <c r="M89" s="4" t="s">
        <v>37</v>
      </c>
      <c r="N89" s="4" t="s">
        <v>192</v>
      </c>
      <c r="O89" s="4">
        <f>P89*T89/100</f>
        <v>5</v>
      </c>
      <c r="P89" s="4">
        <v>50</v>
      </c>
      <c r="S89" s="4">
        <v>91</v>
      </c>
      <c r="T89" s="4">
        <v>10</v>
      </c>
    </row>
    <row r="90" spans="1:28" ht="42.45" hidden="1" x14ac:dyDescent="0.35">
      <c r="A90" s="4" t="s">
        <v>45</v>
      </c>
      <c r="C90" s="4">
        <v>1130</v>
      </c>
      <c r="D90" s="4">
        <v>3</v>
      </c>
      <c r="E90" s="12" t="s">
        <v>46</v>
      </c>
      <c r="F90" s="4">
        <v>2023</v>
      </c>
      <c r="G90" s="4" t="s">
        <v>32</v>
      </c>
      <c r="H90" s="4" t="s">
        <v>47</v>
      </c>
      <c r="I90" s="4" t="s">
        <v>68</v>
      </c>
      <c r="J90" s="4" t="s">
        <v>71</v>
      </c>
      <c r="K90" s="4" t="s">
        <v>244</v>
      </c>
      <c r="L90" s="6" t="s">
        <v>48</v>
      </c>
      <c r="M90" s="4" t="s">
        <v>41</v>
      </c>
      <c r="N90" s="4" t="s">
        <v>49</v>
      </c>
      <c r="O90" s="4">
        <f t="shared" ref="O90:O95" si="6">P90*S90/100</f>
        <v>6.02</v>
      </c>
      <c r="P90" s="4">
        <v>43</v>
      </c>
      <c r="S90" s="4">
        <v>14</v>
      </c>
      <c r="U90" s="4">
        <v>36.299999999999997</v>
      </c>
    </row>
    <row r="91" spans="1:28" ht="42.45" hidden="1" x14ac:dyDescent="0.35">
      <c r="A91" s="4" t="s">
        <v>45</v>
      </c>
      <c r="C91" s="4">
        <v>1130</v>
      </c>
      <c r="D91" s="4">
        <v>3</v>
      </c>
      <c r="E91" s="12" t="s">
        <v>46</v>
      </c>
      <c r="F91" s="4">
        <v>2023</v>
      </c>
      <c r="G91" s="4" t="s">
        <v>32</v>
      </c>
      <c r="H91" s="4" t="s">
        <v>47</v>
      </c>
      <c r="I91" s="4" t="s">
        <v>68</v>
      </c>
      <c r="J91" s="4" t="s">
        <v>71</v>
      </c>
      <c r="K91" s="4" t="s">
        <v>244</v>
      </c>
      <c r="L91" s="6" t="s">
        <v>48</v>
      </c>
      <c r="M91" s="4" t="s">
        <v>41</v>
      </c>
      <c r="N91" s="4" t="s">
        <v>192</v>
      </c>
      <c r="O91" s="4">
        <f t="shared" si="6"/>
        <v>0.98899999999999988</v>
      </c>
      <c r="P91" s="4">
        <v>43</v>
      </c>
      <c r="S91" s="4">
        <v>2.2999999999999998</v>
      </c>
      <c r="T91" s="4">
        <v>9</v>
      </c>
      <c r="U91" s="4">
        <v>9</v>
      </c>
      <c r="W91" s="4">
        <v>86</v>
      </c>
    </row>
    <row r="92" spans="1:28" ht="42.45" hidden="1" x14ac:dyDescent="0.35">
      <c r="A92" s="4" t="s">
        <v>45</v>
      </c>
      <c r="C92" s="4">
        <v>1030</v>
      </c>
      <c r="D92" s="4">
        <v>1</v>
      </c>
      <c r="E92" s="12" t="s">
        <v>22</v>
      </c>
      <c r="F92" s="4">
        <v>2022</v>
      </c>
      <c r="G92" s="4" t="s">
        <v>32</v>
      </c>
      <c r="H92" s="4" t="s">
        <v>47</v>
      </c>
      <c r="I92" s="4" t="s">
        <v>68</v>
      </c>
      <c r="J92" s="4" t="s">
        <v>70</v>
      </c>
      <c r="K92" s="4" t="s">
        <v>244</v>
      </c>
      <c r="L92" s="6" t="s">
        <v>48</v>
      </c>
      <c r="M92" s="4" t="s">
        <v>37</v>
      </c>
      <c r="N92" s="4" t="s">
        <v>192</v>
      </c>
      <c r="O92" s="4">
        <f t="shared" si="6"/>
        <v>0</v>
      </c>
      <c r="P92" s="4">
        <v>25</v>
      </c>
      <c r="S92" s="4">
        <v>0</v>
      </c>
    </row>
    <row r="93" spans="1:28" ht="42.45" hidden="1" x14ac:dyDescent="0.35">
      <c r="A93" s="4" t="s">
        <v>45</v>
      </c>
      <c r="C93" s="4">
        <v>1030</v>
      </c>
      <c r="D93" s="4">
        <v>1</v>
      </c>
      <c r="E93" s="12" t="s">
        <v>22</v>
      </c>
      <c r="F93" s="4">
        <v>2022</v>
      </c>
      <c r="G93" s="4" t="s">
        <v>32</v>
      </c>
      <c r="H93" s="4" t="s">
        <v>47</v>
      </c>
      <c r="I93" s="4" t="s">
        <v>68</v>
      </c>
      <c r="J93" s="4" t="s">
        <v>70</v>
      </c>
      <c r="K93" s="4" t="s">
        <v>244</v>
      </c>
      <c r="L93" s="6" t="s">
        <v>48</v>
      </c>
      <c r="M93" s="4" t="s">
        <v>37</v>
      </c>
      <c r="N93" s="4" t="s">
        <v>51</v>
      </c>
      <c r="O93" s="4">
        <f t="shared" si="6"/>
        <v>10.004</v>
      </c>
      <c r="P93" s="4">
        <v>41</v>
      </c>
      <c r="S93" s="4">
        <v>24.4</v>
      </c>
      <c r="X93" s="4">
        <v>66</v>
      </c>
    </row>
    <row r="94" spans="1:28" ht="42.45" hidden="1" x14ac:dyDescent="0.35">
      <c r="A94" s="4" t="s">
        <v>45</v>
      </c>
      <c r="C94" s="4">
        <v>1130</v>
      </c>
      <c r="D94" s="4">
        <v>3</v>
      </c>
      <c r="E94" s="12" t="s">
        <v>46</v>
      </c>
      <c r="F94" s="4">
        <v>2023</v>
      </c>
      <c r="G94" s="4" t="s">
        <v>32</v>
      </c>
      <c r="H94" s="4" t="s">
        <v>47</v>
      </c>
      <c r="I94" s="4" t="s">
        <v>68</v>
      </c>
      <c r="J94" s="4" t="s">
        <v>72</v>
      </c>
      <c r="K94" s="4" t="s">
        <v>244</v>
      </c>
      <c r="L94" s="6" t="s">
        <v>48</v>
      </c>
      <c r="M94" s="4" t="s">
        <v>41</v>
      </c>
      <c r="N94" s="4" t="s">
        <v>49</v>
      </c>
      <c r="O94" s="4">
        <f t="shared" si="6"/>
        <v>70.400000000000006</v>
      </c>
      <c r="P94" s="4">
        <v>40</v>
      </c>
      <c r="S94" s="4">
        <v>176</v>
      </c>
      <c r="U94" s="4">
        <v>36.9</v>
      </c>
    </row>
    <row r="95" spans="1:28" ht="42.45" hidden="1" x14ac:dyDescent="0.35">
      <c r="A95" s="4" t="s">
        <v>45</v>
      </c>
      <c r="C95" s="4">
        <v>1130</v>
      </c>
      <c r="D95" s="4">
        <v>3</v>
      </c>
      <c r="E95" s="12" t="s">
        <v>46</v>
      </c>
      <c r="F95" s="4">
        <v>2023</v>
      </c>
      <c r="G95" s="4" t="s">
        <v>32</v>
      </c>
      <c r="H95" s="4" t="s">
        <v>47</v>
      </c>
      <c r="I95" s="4" t="s">
        <v>68</v>
      </c>
      <c r="J95" s="4" t="s">
        <v>72</v>
      </c>
      <c r="K95" s="4" t="s">
        <v>244</v>
      </c>
      <c r="L95" s="6" t="s">
        <v>48</v>
      </c>
      <c r="M95" s="4" t="s">
        <v>41</v>
      </c>
      <c r="N95" s="4" t="s">
        <v>192</v>
      </c>
      <c r="O95" s="4">
        <f t="shared" si="6"/>
        <v>50.96</v>
      </c>
      <c r="P95" s="4">
        <v>28</v>
      </c>
      <c r="S95" s="4">
        <v>182</v>
      </c>
      <c r="T95" s="4">
        <v>89</v>
      </c>
      <c r="U95" s="4">
        <v>89</v>
      </c>
      <c r="W95" s="4">
        <v>68</v>
      </c>
    </row>
    <row r="96" spans="1:28" ht="42.45" hidden="1" x14ac:dyDescent="0.35">
      <c r="A96" s="4" t="s">
        <v>45</v>
      </c>
      <c r="C96" s="4">
        <v>1010</v>
      </c>
      <c r="D96" s="4">
        <v>6</v>
      </c>
      <c r="E96" s="12" t="s">
        <v>40</v>
      </c>
      <c r="F96" s="4">
        <v>2024</v>
      </c>
      <c r="G96" s="4" t="s">
        <v>32</v>
      </c>
      <c r="H96" s="4" t="s">
        <v>50</v>
      </c>
      <c r="I96" s="4" t="s">
        <v>64</v>
      </c>
      <c r="J96" s="4">
        <v>0</v>
      </c>
      <c r="K96" s="4" t="s">
        <v>244</v>
      </c>
      <c r="L96" s="6" t="s">
        <v>48</v>
      </c>
      <c r="M96" s="4" t="s">
        <v>41</v>
      </c>
      <c r="N96" s="4" t="s">
        <v>42</v>
      </c>
      <c r="O96" s="4">
        <v>56</v>
      </c>
      <c r="P96" s="4">
        <v>142</v>
      </c>
      <c r="AA96" s="10">
        <v>44977</v>
      </c>
      <c r="AB96" s="4">
        <v>1783</v>
      </c>
    </row>
    <row r="97" spans="1:28" ht="42.45" hidden="1" x14ac:dyDescent="0.35">
      <c r="A97" s="4" t="s">
        <v>45</v>
      </c>
      <c r="C97" s="4">
        <v>1010</v>
      </c>
      <c r="D97" s="4">
        <v>6</v>
      </c>
      <c r="E97" s="12" t="s">
        <v>40</v>
      </c>
      <c r="F97" s="4">
        <v>2024</v>
      </c>
      <c r="G97" s="4" t="s">
        <v>32</v>
      </c>
      <c r="H97" s="4" t="s">
        <v>50</v>
      </c>
      <c r="I97" s="4" t="s">
        <v>64</v>
      </c>
      <c r="J97" s="4">
        <v>0</v>
      </c>
      <c r="K97" s="4" t="s">
        <v>244</v>
      </c>
      <c r="L97" s="6" t="s">
        <v>48</v>
      </c>
      <c r="M97" s="4" t="s">
        <v>41</v>
      </c>
      <c r="N97" s="4" t="s">
        <v>192</v>
      </c>
      <c r="O97" s="4">
        <v>12</v>
      </c>
      <c r="P97" s="4">
        <v>154</v>
      </c>
      <c r="AA97" s="10">
        <v>44977</v>
      </c>
      <c r="AB97" s="4">
        <v>1783</v>
      </c>
    </row>
    <row r="98" spans="1:28" ht="42.45" hidden="1" x14ac:dyDescent="0.35">
      <c r="A98" s="4" t="s">
        <v>45</v>
      </c>
      <c r="C98" s="4">
        <v>1030</v>
      </c>
      <c r="D98" s="4">
        <v>1</v>
      </c>
      <c r="E98" s="12" t="s">
        <v>22</v>
      </c>
      <c r="F98" s="4">
        <v>2022</v>
      </c>
      <c r="G98" s="4" t="s">
        <v>32</v>
      </c>
      <c r="H98" s="4" t="s">
        <v>55</v>
      </c>
      <c r="I98" s="4" t="s">
        <v>68</v>
      </c>
      <c r="J98" s="4" t="s">
        <v>70</v>
      </c>
      <c r="K98" s="4" t="s">
        <v>244</v>
      </c>
      <c r="L98" s="6" t="s">
        <v>48</v>
      </c>
      <c r="M98" s="4" t="s">
        <v>37</v>
      </c>
      <c r="N98" s="4" t="s">
        <v>51</v>
      </c>
      <c r="O98" s="4">
        <f>P98*T98/100</f>
        <v>17.998999999999999</v>
      </c>
      <c r="P98" s="4">
        <v>41</v>
      </c>
      <c r="T98" s="4">
        <v>43.9</v>
      </c>
    </row>
    <row r="99" spans="1:28" ht="42.45" hidden="1" x14ac:dyDescent="0.35">
      <c r="A99" s="4" t="s">
        <v>45</v>
      </c>
      <c r="C99" s="4">
        <v>1030</v>
      </c>
      <c r="D99" s="4">
        <v>1</v>
      </c>
      <c r="E99" s="12" t="s">
        <v>22</v>
      </c>
      <c r="F99" s="4">
        <v>2022</v>
      </c>
      <c r="G99" s="4" t="s">
        <v>32</v>
      </c>
      <c r="H99" s="4" t="s">
        <v>55</v>
      </c>
      <c r="I99" s="4" t="s">
        <v>68</v>
      </c>
      <c r="J99" s="4" t="s">
        <v>70</v>
      </c>
      <c r="K99" s="4" t="s">
        <v>244</v>
      </c>
      <c r="L99" s="6" t="s">
        <v>48</v>
      </c>
      <c r="M99" s="4" t="s">
        <v>37</v>
      </c>
      <c r="N99" s="4" t="s">
        <v>192</v>
      </c>
      <c r="O99" s="4">
        <f>P99*T99/100</f>
        <v>2</v>
      </c>
      <c r="P99" s="4">
        <v>25</v>
      </c>
      <c r="S99" s="4">
        <v>66</v>
      </c>
      <c r="T99" s="4">
        <v>8</v>
      </c>
    </row>
    <row r="100" spans="1:28" ht="42.45" hidden="1" x14ac:dyDescent="0.35">
      <c r="A100" s="4" t="s">
        <v>45</v>
      </c>
      <c r="C100" s="4">
        <v>1020</v>
      </c>
      <c r="D100" s="4">
        <v>2</v>
      </c>
      <c r="E100" s="12" t="s">
        <v>52</v>
      </c>
      <c r="F100" s="4">
        <v>2024</v>
      </c>
      <c r="G100" s="4" t="s">
        <v>32</v>
      </c>
      <c r="H100" s="4" t="s">
        <v>47</v>
      </c>
      <c r="I100" s="4" t="s">
        <v>68</v>
      </c>
      <c r="J100" s="4" t="s">
        <v>70</v>
      </c>
      <c r="K100" s="4" t="s">
        <v>244</v>
      </c>
      <c r="L100" s="6" t="s">
        <v>48</v>
      </c>
      <c r="M100" s="4" t="s">
        <v>41</v>
      </c>
      <c r="N100" s="4" t="s">
        <v>53</v>
      </c>
      <c r="O100" s="4">
        <f t="shared" ref="O100:O105" si="7">P100*S100/100</f>
        <v>27.06</v>
      </c>
      <c r="P100" s="4">
        <v>123</v>
      </c>
      <c r="S100" s="4">
        <v>22</v>
      </c>
    </row>
    <row r="101" spans="1:28" ht="42.45" hidden="1" x14ac:dyDescent="0.35">
      <c r="A101" s="4" t="s">
        <v>45</v>
      </c>
      <c r="C101" s="4">
        <v>1020</v>
      </c>
      <c r="D101" s="4">
        <v>2</v>
      </c>
      <c r="E101" s="12" t="s">
        <v>52</v>
      </c>
      <c r="F101" s="4">
        <v>2024</v>
      </c>
      <c r="G101" s="4" t="s">
        <v>32</v>
      </c>
      <c r="H101" s="4" t="s">
        <v>47</v>
      </c>
      <c r="I101" s="4" t="s">
        <v>68</v>
      </c>
      <c r="J101" s="4" t="s">
        <v>70</v>
      </c>
      <c r="K101" s="4" t="s">
        <v>244</v>
      </c>
      <c r="L101" s="6" t="s">
        <v>48</v>
      </c>
      <c r="M101" s="4" t="s">
        <v>41</v>
      </c>
      <c r="N101" s="4" t="s">
        <v>192</v>
      </c>
      <c r="O101" s="4">
        <f t="shared" si="7"/>
        <v>6.9850000000000003</v>
      </c>
      <c r="P101" s="4">
        <v>127</v>
      </c>
      <c r="S101" s="4">
        <v>5.5</v>
      </c>
    </row>
    <row r="102" spans="1:28" ht="42.45" hidden="1" x14ac:dyDescent="0.35">
      <c r="A102" s="4" t="s">
        <v>45</v>
      </c>
      <c r="C102" s="4">
        <v>1020</v>
      </c>
      <c r="D102" s="4">
        <v>2</v>
      </c>
      <c r="E102" s="12" t="s">
        <v>52</v>
      </c>
      <c r="F102" s="4">
        <v>2024</v>
      </c>
      <c r="G102" s="4" t="s">
        <v>32</v>
      </c>
      <c r="H102" s="4" t="s">
        <v>47</v>
      </c>
      <c r="I102" s="4" t="s">
        <v>68</v>
      </c>
      <c r="J102" s="4" t="s">
        <v>71</v>
      </c>
      <c r="K102" s="4" t="s">
        <v>244</v>
      </c>
      <c r="L102" s="6" t="s">
        <v>48</v>
      </c>
      <c r="M102" s="4" t="s">
        <v>41</v>
      </c>
      <c r="N102" s="4" t="s">
        <v>53</v>
      </c>
      <c r="O102" s="4">
        <f t="shared" si="7"/>
        <v>2.99</v>
      </c>
      <c r="P102" s="4">
        <v>23</v>
      </c>
      <c r="S102" s="4">
        <v>13</v>
      </c>
      <c r="U102" s="4">
        <v>40</v>
      </c>
    </row>
    <row r="103" spans="1:28" ht="42.45" hidden="1" x14ac:dyDescent="0.35">
      <c r="A103" s="4" t="s">
        <v>45</v>
      </c>
      <c r="C103" s="4">
        <v>1020</v>
      </c>
      <c r="D103" s="4">
        <v>2</v>
      </c>
      <c r="E103" s="12" t="s">
        <v>52</v>
      </c>
      <c r="F103" s="4">
        <v>2024</v>
      </c>
      <c r="G103" s="4" t="s">
        <v>32</v>
      </c>
      <c r="H103" s="4" t="s">
        <v>47</v>
      </c>
      <c r="I103" s="4" t="s">
        <v>68</v>
      </c>
      <c r="J103" s="4" t="s">
        <v>71</v>
      </c>
      <c r="K103" s="4" t="s">
        <v>244</v>
      </c>
      <c r="L103" s="6" t="s">
        <v>48</v>
      </c>
      <c r="M103" s="4" t="s">
        <v>41</v>
      </c>
      <c r="N103" s="4" t="s">
        <v>192</v>
      </c>
      <c r="O103" s="4">
        <f t="shared" si="7"/>
        <v>0</v>
      </c>
      <c r="P103" s="4">
        <v>21</v>
      </c>
      <c r="S103" s="4">
        <v>0</v>
      </c>
      <c r="T103" s="4">
        <v>9.5</v>
      </c>
      <c r="U103" s="4">
        <v>9.5</v>
      </c>
    </row>
    <row r="104" spans="1:28" ht="42.45" hidden="1" x14ac:dyDescent="0.35">
      <c r="A104" s="4" t="s">
        <v>45</v>
      </c>
      <c r="C104" s="4">
        <v>1130</v>
      </c>
      <c r="D104" s="4">
        <v>3</v>
      </c>
      <c r="E104" s="12" t="s">
        <v>46</v>
      </c>
      <c r="F104" s="4">
        <v>2023</v>
      </c>
      <c r="G104" s="4" t="s">
        <v>32</v>
      </c>
      <c r="H104" s="4" t="s">
        <v>47</v>
      </c>
      <c r="I104" s="4" t="s">
        <v>73</v>
      </c>
      <c r="J104" s="4" t="s">
        <v>74</v>
      </c>
      <c r="K104" s="4" t="s">
        <v>244</v>
      </c>
      <c r="L104" s="6" t="s">
        <v>48</v>
      </c>
      <c r="M104" s="4" t="s">
        <v>41</v>
      </c>
      <c r="N104" s="4" t="s">
        <v>49</v>
      </c>
      <c r="O104" s="4">
        <f t="shared" si="7"/>
        <v>22.99</v>
      </c>
      <c r="P104" s="4">
        <v>95</v>
      </c>
      <c r="S104" s="4">
        <v>24.2</v>
      </c>
    </row>
    <row r="105" spans="1:28" ht="42.45" hidden="1" x14ac:dyDescent="0.35">
      <c r="A105" s="4" t="s">
        <v>45</v>
      </c>
      <c r="C105" s="4">
        <v>1130</v>
      </c>
      <c r="D105" s="4">
        <v>3</v>
      </c>
      <c r="E105" s="12" t="s">
        <v>46</v>
      </c>
      <c r="F105" s="4">
        <v>2023</v>
      </c>
      <c r="G105" s="4" t="s">
        <v>32</v>
      </c>
      <c r="H105" s="4" t="s">
        <v>47</v>
      </c>
      <c r="I105" s="4" t="s">
        <v>73</v>
      </c>
      <c r="J105" s="4" t="s">
        <v>74</v>
      </c>
      <c r="K105" s="4" t="s">
        <v>244</v>
      </c>
      <c r="L105" s="6" t="s">
        <v>48</v>
      </c>
      <c r="M105" s="4" t="s">
        <v>41</v>
      </c>
      <c r="N105" s="4" t="s">
        <v>192</v>
      </c>
      <c r="O105" s="4">
        <f t="shared" si="7"/>
        <v>3.99</v>
      </c>
      <c r="P105" s="4">
        <v>95</v>
      </c>
      <c r="S105" s="4">
        <v>4.2</v>
      </c>
      <c r="W105" s="4">
        <v>190</v>
      </c>
    </row>
    <row r="106" spans="1:28" ht="42.45" hidden="1" x14ac:dyDescent="0.35">
      <c r="A106" s="4" t="s">
        <v>45</v>
      </c>
      <c r="C106" s="4">
        <v>1010</v>
      </c>
      <c r="D106" s="4">
        <v>6</v>
      </c>
      <c r="E106" s="12" t="s">
        <v>40</v>
      </c>
      <c r="F106" s="4">
        <v>2024</v>
      </c>
      <c r="G106" s="4" t="s">
        <v>32</v>
      </c>
      <c r="H106" s="4" t="s">
        <v>50</v>
      </c>
      <c r="I106" s="4" t="s">
        <v>64</v>
      </c>
      <c r="J106" s="4">
        <v>1</v>
      </c>
      <c r="K106" s="4" t="s">
        <v>244</v>
      </c>
      <c r="L106" s="6" t="s">
        <v>48</v>
      </c>
      <c r="M106" s="4" t="s">
        <v>41</v>
      </c>
      <c r="N106" s="4" t="s">
        <v>42</v>
      </c>
      <c r="O106" s="4">
        <v>35</v>
      </c>
      <c r="P106" s="4">
        <v>83</v>
      </c>
      <c r="AA106" s="10">
        <v>44977</v>
      </c>
      <c r="AB106" s="4">
        <v>1783</v>
      </c>
    </row>
    <row r="107" spans="1:28" ht="42.45" hidden="1" x14ac:dyDescent="0.35">
      <c r="A107" s="4" t="s">
        <v>45</v>
      </c>
      <c r="C107" s="4">
        <v>1010</v>
      </c>
      <c r="D107" s="4">
        <v>6</v>
      </c>
      <c r="E107" s="12" t="s">
        <v>40</v>
      </c>
      <c r="F107" s="4">
        <v>2024</v>
      </c>
      <c r="G107" s="4" t="s">
        <v>32</v>
      </c>
      <c r="H107" s="4" t="s">
        <v>50</v>
      </c>
      <c r="I107" s="4" t="s">
        <v>64</v>
      </c>
      <c r="J107" s="4">
        <v>1</v>
      </c>
      <c r="K107" s="4" t="s">
        <v>244</v>
      </c>
      <c r="L107" s="6" t="s">
        <v>48</v>
      </c>
      <c r="M107" s="4" t="s">
        <v>41</v>
      </c>
      <c r="N107" s="4" t="s">
        <v>192</v>
      </c>
      <c r="O107" s="4">
        <v>1</v>
      </c>
      <c r="P107" s="4">
        <v>73</v>
      </c>
      <c r="AA107" s="10">
        <v>44977</v>
      </c>
      <c r="AB107" s="4">
        <v>1783</v>
      </c>
    </row>
    <row r="108" spans="1:28" ht="42.45" hidden="1" x14ac:dyDescent="0.35">
      <c r="A108" s="4" t="s">
        <v>45</v>
      </c>
      <c r="C108" s="4">
        <v>1030</v>
      </c>
      <c r="D108" s="4">
        <v>1</v>
      </c>
      <c r="E108" s="12" t="s">
        <v>22</v>
      </c>
      <c r="F108" s="4">
        <v>2022</v>
      </c>
      <c r="G108" s="4" t="s">
        <v>32</v>
      </c>
      <c r="H108" s="4" t="s">
        <v>47</v>
      </c>
      <c r="I108" s="4" t="s">
        <v>68</v>
      </c>
      <c r="J108" s="4" t="s">
        <v>71</v>
      </c>
      <c r="K108" s="4" t="s">
        <v>244</v>
      </c>
      <c r="L108" s="6" t="s">
        <v>48</v>
      </c>
      <c r="M108" s="4" t="s">
        <v>37</v>
      </c>
      <c r="N108" s="4" t="s">
        <v>192</v>
      </c>
      <c r="O108" s="4">
        <f>P108*S108/100</f>
        <v>1</v>
      </c>
      <c r="P108" s="4">
        <v>50</v>
      </c>
      <c r="S108" s="4">
        <v>2</v>
      </c>
      <c r="U108" s="4">
        <v>43.9</v>
      </c>
    </row>
    <row r="109" spans="1:28" ht="42.45" hidden="1" x14ac:dyDescent="0.35">
      <c r="A109" s="4" t="s">
        <v>45</v>
      </c>
      <c r="C109" s="4">
        <v>1030</v>
      </c>
      <c r="D109" s="4">
        <v>1</v>
      </c>
      <c r="E109" s="12" t="s">
        <v>22</v>
      </c>
      <c r="F109" s="4">
        <v>2022</v>
      </c>
      <c r="G109" s="4" t="s">
        <v>32</v>
      </c>
      <c r="H109" s="4" t="s">
        <v>47</v>
      </c>
      <c r="I109" s="4" t="s">
        <v>68</v>
      </c>
      <c r="J109" s="4" t="s">
        <v>71</v>
      </c>
      <c r="K109" s="4" t="s">
        <v>244</v>
      </c>
      <c r="L109" s="6" t="s">
        <v>48</v>
      </c>
      <c r="M109" s="4" t="s">
        <v>37</v>
      </c>
      <c r="N109" s="4" t="s">
        <v>51</v>
      </c>
      <c r="O109" s="4">
        <f>P109*S109/100</f>
        <v>9.02</v>
      </c>
      <c r="P109" s="4">
        <v>41</v>
      </c>
      <c r="S109" s="4">
        <v>22</v>
      </c>
      <c r="T109" s="4">
        <v>8</v>
      </c>
      <c r="U109" s="4">
        <v>8</v>
      </c>
      <c r="X109" s="4">
        <v>91</v>
      </c>
    </row>
    <row r="110" spans="1:28" ht="42.45" hidden="1" x14ac:dyDescent="0.35">
      <c r="A110" s="4" t="s">
        <v>45</v>
      </c>
      <c r="C110" s="4">
        <v>1030</v>
      </c>
      <c r="D110" s="4">
        <v>1</v>
      </c>
      <c r="E110" s="12" t="s">
        <v>22</v>
      </c>
      <c r="F110" s="4">
        <v>2022</v>
      </c>
      <c r="G110" s="4" t="s">
        <v>32</v>
      </c>
      <c r="H110" s="4" t="s">
        <v>55</v>
      </c>
      <c r="I110" s="4" t="s">
        <v>68</v>
      </c>
      <c r="J110" s="4" t="s">
        <v>69</v>
      </c>
      <c r="K110" s="4" t="s">
        <v>244</v>
      </c>
      <c r="L110" s="6" t="s">
        <v>48</v>
      </c>
      <c r="M110" s="4" t="s">
        <v>37</v>
      </c>
      <c r="N110" s="4" t="s">
        <v>51</v>
      </c>
      <c r="O110" s="4">
        <f>P110*T110/100</f>
        <v>32.979999999999997</v>
      </c>
      <c r="P110" s="4">
        <v>85</v>
      </c>
      <c r="T110" s="4">
        <v>38.799999999999997</v>
      </c>
    </row>
    <row r="111" spans="1:28" ht="42.45" hidden="1" x14ac:dyDescent="0.35">
      <c r="A111" s="4" t="s">
        <v>45</v>
      </c>
      <c r="C111" s="4">
        <v>1030</v>
      </c>
      <c r="D111" s="4">
        <v>1</v>
      </c>
      <c r="E111" s="12" t="s">
        <v>22</v>
      </c>
      <c r="F111" s="4">
        <v>2022</v>
      </c>
      <c r="G111" s="4" t="s">
        <v>32</v>
      </c>
      <c r="H111" s="4" t="s">
        <v>55</v>
      </c>
      <c r="I111" s="4" t="s">
        <v>68</v>
      </c>
      <c r="J111" s="4" t="s">
        <v>69</v>
      </c>
      <c r="K111" s="4" t="s">
        <v>244</v>
      </c>
      <c r="L111" s="6" t="s">
        <v>48</v>
      </c>
      <c r="M111" s="4" t="s">
        <v>37</v>
      </c>
      <c r="N111" s="4" t="s">
        <v>192</v>
      </c>
      <c r="O111" s="4">
        <f>P111*T111/100</f>
        <v>8.0039999999999996</v>
      </c>
      <c r="P111" s="4">
        <v>92</v>
      </c>
      <c r="S111" s="4">
        <v>177</v>
      </c>
      <c r="T111" s="4">
        <v>8.6999999999999993</v>
      </c>
    </row>
    <row r="112" spans="1:28" ht="42.45" hidden="1" x14ac:dyDescent="0.35">
      <c r="A112" s="4" t="s">
        <v>45</v>
      </c>
      <c r="C112" s="4">
        <v>1130</v>
      </c>
      <c r="D112" s="4">
        <v>3</v>
      </c>
      <c r="E112" s="12" t="s">
        <v>46</v>
      </c>
      <c r="F112" s="4">
        <v>2023</v>
      </c>
      <c r="G112" s="4" t="s">
        <v>32</v>
      </c>
      <c r="H112" s="4" t="s">
        <v>47</v>
      </c>
      <c r="I112" s="4" t="s">
        <v>73</v>
      </c>
      <c r="J112" s="4" t="s">
        <v>75</v>
      </c>
      <c r="K112" s="4" t="s">
        <v>244</v>
      </c>
      <c r="L112" s="6" t="s">
        <v>48</v>
      </c>
      <c r="M112" s="4" t="s">
        <v>41</v>
      </c>
      <c r="N112" s="4" t="s">
        <v>49</v>
      </c>
      <c r="O112" s="4">
        <f t="shared" ref="O112:O119" si="8">P112*S112/100</f>
        <v>38.06</v>
      </c>
      <c r="P112" s="4">
        <v>220</v>
      </c>
      <c r="S112" s="4">
        <v>17.3</v>
      </c>
    </row>
    <row r="113" spans="1:28" ht="42.45" hidden="1" x14ac:dyDescent="0.35">
      <c r="A113" s="4" t="s">
        <v>45</v>
      </c>
      <c r="C113" s="4">
        <v>1130</v>
      </c>
      <c r="D113" s="4">
        <v>3</v>
      </c>
      <c r="E113" s="12" t="s">
        <v>46</v>
      </c>
      <c r="F113" s="4">
        <v>2023</v>
      </c>
      <c r="G113" s="4" t="s">
        <v>32</v>
      </c>
      <c r="H113" s="4" t="s">
        <v>47</v>
      </c>
      <c r="I113" s="4" t="s">
        <v>73</v>
      </c>
      <c r="J113" s="4" t="s">
        <v>75</v>
      </c>
      <c r="K113" s="4" t="s">
        <v>244</v>
      </c>
      <c r="L113" s="6" t="s">
        <v>48</v>
      </c>
      <c r="M113" s="4" t="s">
        <v>41</v>
      </c>
      <c r="N113" s="4" t="s">
        <v>192</v>
      </c>
      <c r="O113" s="4">
        <f t="shared" si="8"/>
        <v>12.042</v>
      </c>
      <c r="P113" s="4">
        <v>223</v>
      </c>
      <c r="S113" s="4">
        <v>5.4</v>
      </c>
      <c r="W113" s="4">
        <v>443</v>
      </c>
    </row>
    <row r="114" spans="1:28" ht="42.45" hidden="1" x14ac:dyDescent="0.35">
      <c r="A114" s="4" t="s">
        <v>45</v>
      </c>
      <c r="C114" s="4">
        <v>1030</v>
      </c>
      <c r="D114" s="4">
        <v>1</v>
      </c>
      <c r="E114" s="12" t="s">
        <v>22</v>
      </c>
      <c r="F114" s="4">
        <v>2022</v>
      </c>
      <c r="G114" s="4" t="s">
        <v>32</v>
      </c>
      <c r="H114" s="4" t="s">
        <v>47</v>
      </c>
      <c r="I114" s="4" t="s">
        <v>64</v>
      </c>
      <c r="J114" s="4">
        <v>0</v>
      </c>
      <c r="K114" s="4" t="s">
        <v>244</v>
      </c>
      <c r="L114" s="6" t="s">
        <v>48</v>
      </c>
      <c r="M114" s="4" t="s">
        <v>37</v>
      </c>
      <c r="N114" s="4" t="s">
        <v>192</v>
      </c>
      <c r="O114" s="4">
        <f t="shared" si="8"/>
        <v>1.9890000000000001</v>
      </c>
      <c r="P114" s="4">
        <v>117</v>
      </c>
      <c r="S114" s="4">
        <v>1.7</v>
      </c>
    </row>
    <row r="115" spans="1:28" ht="42.45" hidden="1" x14ac:dyDescent="0.35">
      <c r="A115" s="4" t="s">
        <v>45</v>
      </c>
      <c r="C115" s="4">
        <v>1030</v>
      </c>
      <c r="D115" s="4">
        <v>1</v>
      </c>
      <c r="E115" s="12" t="s">
        <v>22</v>
      </c>
      <c r="F115" s="4">
        <v>2022</v>
      </c>
      <c r="G115" s="4" t="s">
        <v>32</v>
      </c>
      <c r="H115" s="4" t="s">
        <v>47</v>
      </c>
      <c r="I115" s="4" t="s">
        <v>64</v>
      </c>
      <c r="J115" s="4">
        <v>0</v>
      </c>
      <c r="K115" s="4" t="s">
        <v>244</v>
      </c>
      <c r="L115" s="6" t="s">
        <v>48</v>
      </c>
      <c r="M115" s="4" t="s">
        <v>37</v>
      </c>
      <c r="N115" s="4" t="s">
        <v>51</v>
      </c>
      <c r="O115" s="4">
        <f t="shared" si="8"/>
        <v>33.356000000000002</v>
      </c>
      <c r="P115" s="4">
        <v>124</v>
      </c>
      <c r="S115" s="4">
        <v>26.9</v>
      </c>
      <c r="X115" s="4">
        <v>241</v>
      </c>
    </row>
    <row r="116" spans="1:28" ht="42.45" hidden="1" x14ac:dyDescent="0.35">
      <c r="A116" s="4" t="s">
        <v>45</v>
      </c>
      <c r="C116" s="4">
        <v>1020</v>
      </c>
      <c r="D116" s="4">
        <v>2</v>
      </c>
      <c r="E116" s="12" t="s">
        <v>52</v>
      </c>
      <c r="F116" s="4">
        <v>2024</v>
      </c>
      <c r="G116" s="4" t="s">
        <v>32</v>
      </c>
      <c r="H116" s="4" t="s">
        <v>47</v>
      </c>
      <c r="I116" s="4" t="s">
        <v>64</v>
      </c>
      <c r="J116" s="4">
        <v>0</v>
      </c>
      <c r="K116" s="4" t="s">
        <v>244</v>
      </c>
      <c r="L116" s="6" t="s">
        <v>48</v>
      </c>
      <c r="M116" s="4" t="s">
        <v>41</v>
      </c>
      <c r="N116" s="4" t="s">
        <v>53</v>
      </c>
      <c r="O116" s="4">
        <f t="shared" si="8"/>
        <v>38.073</v>
      </c>
      <c r="P116" s="4">
        <v>147</v>
      </c>
      <c r="S116" s="4">
        <v>25.9</v>
      </c>
    </row>
    <row r="117" spans="1:28" ht="42.45" hidden="1" x14ac:dyDescent="0.35">
      <c r="A117" s="4" t="s">
        <v>45</v>
      </c>
      <c r="C117" s="4">
        <v>1020</v>
      </c>
      <c r="D117" s="4">
        <v>2</v>
      </c>
      <c r="E117" s="12" t="s">
        <v>52</v>
      </c>
      <c r="F117" s="4">
        <v>2024</v>
      </c>
      <c r="G117" s="4" t="s">
        <v>32</v>
      </c>
      <c r="H117" s="4" t="s">
        <v>47</v>
      </c>
      <c r="I117" s="4" t="s">
        <v>64</v>
      </c>
      <c r="J117" s="4">
        <v>0</v>
      </c>
      <c r="K117" s="4" t="s">
        <v>244</v>
      </c>
      <c r="L117" s="6" t="s">
        <v>48</v>
      </c>
      <c r="M117" s="4" t="s">
        <v>41</v>
      </c>
      <c r="N117" s="4" t="s">
        <v>192</v>
      </c>
      <c r="O117" s="4">
        <f t="shared" si="8"/>
        <v>7.05</v>
      </c>
      <c r="P117" s="4">
        <v>141</v>
      </c>
      <c r="S117" s="4">
        <v>5</v>
      </c>
    </row>
    <row r="118" spans="1:28" ht="42.45" hidden="1" x14ac:dyDescent="0.35">
      <c r="A118" s="4" t="s">
        <v>45</v>
      </c>
      <c r="C118" s="4">
        <v>1130</v>
      </c>
      <c r="D118" s="4">
        <v>3</v>
      </c>
      <c r="E118" s="12" t="s">
        <v>46</v>
      </c>
      <c r="F118" s="4">
        <v>2023</v>
      </c>
      <c r="G118" s="4" t="s">
        <v>32</v>
      </c>
      <c r="H118" s="4" t="s">
        <v>47</v>
      </c>
      <c r="I118" s="4" t="s">
        <v>73</v>
      </c>
      <c r="J118" s="4" t="s">
        <v>226</v>
      </c>
      <c r="K118" s="4" t="s">
        <v>244</v>
      </c>
      <c r="L118" s="6" t="s">
        <v>48</v>
      </c>
      <c r="M118" s="4" t="s">
        <v>41</v>
      </c>
      <c r="N118" s="4" t="s">
        <v>49</v>
      </c>
      <c r="O118" s="4">
        <f t="shared" si="8"/>
        <v>1.9890000000000001</v>
      </c>
      <c r="P118" s="4">
        <v>51</v>
      </c>
      <c r="S118" s="4">
        <v>3.9</v>
      </c>
      <c r="U118" s="4">
        <v>29.5</v>
      </c>
    </row>
    <row r="119" spans="1:28" ht="42.45" hidden="1" x14ac:dyDescent="0.35">
      <c r="A119" s="4" t="s">
        <v>45</v>
      </c>
      <c r="C119" s="4">
        <v>1130</v>
      </c>
      <c r="D119" s="4">
        <v>3</v>
      </c>
      <c r="E119" s="12" t="s">
        <v>46</v>
      </c>
      <c r="F119" s="4">
        <v>2023</v>
      </c>
      <c r="G119" s="4" t="s">
        <v>32</v>
      </c>
      <c r="H119" s="4" t="s">
        <v>47</v>
      </c>
      <c r="I119" s="4" t="s">
        <v>73</v>
      </c>
      <c r="J119" s="4" t="s">
        <v>76</v>
      </c>
      <c r="K119" s="4" t="s">
        <v>244</v>
      </c>
      <c r="L119" s="6" t="s">
        <v>48</v>
      </c>
      <c r="M119" s="4" t="s">
        <v>41</v>
      </c>
      <c r="N119" s="4" t="s">
        <v>192</v>
      </c>
      <c r="O119" s="4">
        <f t="shared" si="8"/>
        <v>0</v>
      </c>
      <c r="P119" s="4">
        <v>56</v>
      </c>
      <c r="S119" s="4">
        <v>0</v>
      </c>
      <c r="T119" s="4">
        <v>14.3</v>
      </c>
      <c r="U119" s="4">
        <v>14.3</v>
      </c>
      <c r="W119" s="4">
        <v>107</v>
      </c>
    </row>
    <row r="120" spans="1:28" ht="42.45" hidden="1" x14ac:dyDescent="0.35">
      <c r="A120" s="4" t="s">
        <v>45</v>
      </c>
      <c r="C120" s="4">
        <v>1010</v>
      </c>
      <c r="D120" s="4">
        <v>6</v>
      </c>
      <c r="E120" s="12" t="s">
        <v>40</v>
      </c>
      <c r="F120" s="4">
        <v>2024</v>
      </c>
      <c r="G120" s="4" t="s">
        <v>32</v>
      </c>
      <c r="H120" s="4" t="s">
        <v>50</v>
      </c>
      <c r="I120" s="4" t="s">
        <v>77</v>
      </c>
      <c r="J120" s="4" t="s">
        <v>78</v>
      </c>
      <c r="K120" s="4" t="s">
        <v>244</v>
      </c>
      <c r="L120" s="6" t="s">
        <v>48</v>
      </c>
      <c r="M120" s="4" t="s">
        <v>41</v>
      </c>
      <c r="N120" s="4" t="s">
        <v>42</v>
      </c>
      <c r="O120" s="4">
        <v>36</v>
      </c>
      <c r="P120" s="4">
        <v>93</v>
      </c>
      <c r="AA120" s="10">
        <v>44977</v>
      </c>
      <c r="AB120" s="4">
        <v>1783</v>
      </c>
    </row>
    <row r="121" spans="1:28" ht="42.45" hidden="1" x14ac:dyDescent="0.35">
      <c r="A121" s="4" t="s">
        <v>45</v>
      </c>
      <c r="C121" s="4">
        <v>1010</v>
      </c>
      <c r="D121" s="4">
        <v>6</v>
      </c>
      <c r="E121" s="12" t="s">
        <v>40</v>
      </c>
      <c r="F121" s="4">
        <v>2024</v>
      </c>
      <c r="G121" s="4" t="s">
        <v>32</v>
      </c>
      <c r="H121" s="4" t="s">
        <v>50</v>
      </c>
      <c r="I121" s="4" t="s">
        <v>77</v>
      </c>
      <c r="J121" s="4" t="s">
        <v>78</v>
      </c>
      <c r="K121" s="4" t="s">
        <v>244</v>
      </c>
      <c r="L121" s="6" t="s">
        <v>48</v>
      </c>
      <c r="M121" s="4" t="s">
        <v>41</v>
      </c>
      <c r="N121" s="4" t="s">
        <v>192</v>
      </c>
      <c r="O121" s="4">
        <v>5</v>
      </c>
      <c r="P121" s="4">
        <v>93</v>
      </c>
      <c r="AA121" s="10">
        <v>44977</v>
      </c>
      <c r="AB121" s="4">
        <v>1783</v>
      </c>
    </row>
    <row r="122" spans="1:28" ht="42.45" hidden="1" x14ac:dyDescent="0.35">
      <c r="A122" s="4" t="s">
        <v>45</v>
      </c>
      <c r="C122" s="4">
        <v>1030</v>
      </c>
      <c r="D122" s="4">
        <v>1</v>
      </c>
      <c r="E122" s="12" t="s">
        <v>22</v>
      </c>
      <c r="F122" s="4">
        <v>2022</v>
      </c>
      <c r="G122" s="4" t="s">
        <v>32</v>
      </c>
      <c r="H122" s="4" t="s">
        <v>55</v>
      </c>
      <c r="I122" s="4" t="s">
        <v>64</v>
      </c>
      <c r="J122" s="4">
        <v>1</v>
      </c>
      <c r="K122" s="4" t="s">
        <v>244</v>
      </c>
      <c r="L122" s="6" t="s">
        <v>48</v>
      </c>
      <c r="M122" s="4" t="s">
        <v>37</v>
      </c>
      <c r="N122" s="4" t="s">
        <v>51</v>
      </c>
      <c r="O122" s="4">
        <f>P122*T122/100</f>
        <v>2.145</v>
      </c>
      <c r="P122" s="4">
        <v>55</v>
      </c>
      <c r="T122" s="4">
        <v>3.9</v>
      </c>
    </row>
    <row r="123" spans="1:28" ht="42.45" hidden="1" x14ac:dyDescent="0.35">
      <c r="A123" s="4" t="s">
        <v>45</v>
      </c>
      <c r="C123" s="4">
        <v>1030</v>
      </c>
      <c r="D123" s="4">
        <v>1</v>
      </c>
      <c r="E123" s="12" t="s">
        <v>22</v>
      </c>
      <c r="F123" s="4">
        <v>2022</v>
      </c>
      <c r="G123" s="4" t="s">
        <v>32</v>
      </c>
      <c r="H123" s="4" t="s">
        <v>55</v>
      </c>
      <c r="I123" s="4" t="s">
        <v>64</v>
      </c>
      <c r="J123" s="4">
        <v>1</v>
      </c>
      <c r="K123" s="4" t="s">
        <v>244</v>
      </c>
      <c r="L123" s="6" t="s">
        <v>48</v>
      </c>
      <c r="M123" s="4" t="s">
        <v>37</v>
      </c>
      <c r="N123" s="4" t="s">
        <v>192</v>
      </c>
      <c r="O123" s="4">
        <f>P123*T123/100</f>
        <v>10.973999999999998</v>
      </c>
      <c r="P123" s="4">
        <v>62</v>
      </c>
      <c r="S123" s="4">
        <v>117</v>
      </c>
      <c r="T123" s="4">
        <v>17.7</v>
      </c>
    </row>
    <row r="124" spans="1:28" ht="42.45" hidden="1" x14ac:dyDescent="0.35">
      <c r="A124" s="4" t="s">
        <v>45</v>
      </c>
      <c r="C124" s="4">
        <v>1030</v>
      </c>
      <c r="D124" s="4">
        <v>1</v>
      </c>
      <c r="E124" s="12" t="s">
        <v>22</v>
      </c>
      <c r="F124" s="4">
        <v>2022</v>
      </c>
      <c r="G124" s="4" t="s">
        <v>32</v>
      </c>
      <c r="H124" s="4" t="s">
        <v>47</v>
      </c>
      <c r="I124" s="4" t="s">
        <v>64</v>
      </c>
      <c r="J124" s="4">
        <v>1</v>
      </c>
      <c r="K124" s="4" t="s">
        <v>244</v>
      </c>
      <c r="L124" s="6" t="s">
        <v>48</v>
      </c>
      <c r="M124" s="4" t="s">
        <v>37</v>
      </c>
      <c r="N124" s="4" t="s">
        <v>192</v>
      </c>
      <c r="O124" s="4">
        <f t="shared" ref="O124:O129" si="9">P124*S124/100</f>
        <v>1.984</v>
      </c>
      <c r="P124" s="4">
        <v>62</v>
      </c>
      <c r="S124" s="4">
        <v>3.2</v>
      </c>
    </row>
    <row r="125" spans="1:28" ht="42.45" hidden="1" x14ac:dyDescent="0.35">
      <c r="A125" s="4" t="s">
        <v>45</v>
      </c>
      <c r="C125" s="4">
        <v>1030</v>
      </c>
      <c r="D125" s="4">
        <v>1</v>
      </c>
      <c r="E125" s="12" t="s">
        <v>22</v>
      </c>
      <c r="F125" s="4">
        <v>2022</v>
      </c>
      <c r="G125" s="4" t="s">
        <v>32</v>
      </c>
      <c r="H125" s="4" t="s">
        <v>47</v>
      </c>
      <c r="I125" s="4" t="s">
        <v>64</v>
      </c>
      <c r="J125" s="4">
        <v>1</v>
      </c>
      <c r="K125" s="4" t="s">
        <v>244</v>
      </c>
      <c r="L125" s="6" t="s">
        <v>48</v>
      </c>
      <c r="M125" s="4" t="s">
        <v>37</v>
      </c>
      <c r="N125" s="4" t="s">
        <v>51</v>
      </c>
      <c r="O125" s="4">
        <f t="shared" si="9"/>
        <v>10.01</v>
      </c>
      <c r="P125" s="4">
        <v>55</v>
      </c>
      <c r="S125" s="4">
        <v>18.2</v>
      </c>
      <c r="X125" s="4">
        <v>117</v>
      </c>
    </row>
    <row r="126" spans="1:28" ht="42.45" hidden="1" x14ac:dyDescent="0.35">
      <c r="A126" s="4" t="s">
        <v>45</v>
      </c>
      <c r="C126" s="4">
        <v>1020</v>
      </c>
      <c r="D126" s="4">
        <v>2</v>
      </c>
      <c r="E126" s="12" t="s">
        <v>52</v>
      </c>
      <c r="F126" s="4">
        <v>2024</v>
      </c>
      <c r="G126" s="4" t="s">
        <v>32</v>
      </c>
      <c r="H126" s="4" t="s">
        <v>47</v>
      </c>
      <c r="I126" s="4" t="s">
        <v>64</v>
      </c>
      <c r="J126" s="4">
        <v>1</v>
      </c>
      <c r="K126" s="4" t="s">
        <v>244</v>
      </c>
      <c r="L126" s="6" t="s">
        <v>48</v>
      </c>
      <c r="M126" s="4" t="s">
        <v>41</v>
      </c>
      <c r="N126" s="4" t="s">
        <v>53</v>
      </c>
      <c r="O126" s="4">
        <f t="shared" si="9"/>
        <v>20.007999999999999</v>
      </c>
      <c r="P126" s="4">
        <v>82</v>
      </c>
      <c r="S126" s="4">
        <v>24.4</v>
      </c>
    </row>
    <row r="127" spans="1:28" ht="42.45" hidden="1" x14ac:dyDescent="0.35">
      <c r="A127" s="4" t="s">
        <v>45</v>
      </c>
      <c r="C127" s="4">
        <v>1020</v>
      </c>
      <c r="D127" s="4">
        <v>2</v>
      </c>
      <c r="E127" s="12" t="s">
        <v>52</v>
      </c>
      <c r="F127" s="4">
        <v>2024</v>
      </c>
      <c r="G127" s="4" t="s">
        <v>32</v>
      </c>
      <c r="H127" s="4" t="s">
        <v>47</v>
      </c>
      <c r="I127" s="4" t="s">
        <v>64</v>
      </c>
      <c r="J127" s="4">
        <v>1</v>
      </c>
      <c r="K127" s="4" t="s">
        <v>244</v>
      </c>
      <c r="L127" s="6" t="s">
        <v>48</v>
      </c>
      <c r="M127" s="4" t="s">
        <v>41</v>
      </c>
      <c r="N127" s="4" t="s">
        <v>192</v>
      </c>
      <c r="O127" s="4">
        <f t="shared" si="9"/>
        <v>4.0040000000000004</v>
      </c>
      <c r="P127" s="4">
        <v>91</v>
      </c>
      <c r="S127" s="4">
        <v>4.4000000000000004</v>
      </c>
    </row>
    <row r="128" spans="1:28" ht="42.45" hidden="1" x14ac:dyDescent="0.35">
      <c r="A128" s="4" t="s">
        <v>45</v>
      </c>
      <c r="C128" s="4">
        <v>1130</v>
      </c>
      <c r="D128" s="4">
        <v>3</v>
      </c>
      <c r="E128" s="12" t="s">
        <v>46</v>
      </c>
      <c r="F128" s="4">
        <v>2023</v>
      </c>
      <c r="G128" s="4" t="s">
        <v>32</v>
      </c>
      <c r="H128" s="4" t="s">
        <v>47</v>
      </c>
      <c r="I128" s="4" t="s">
        <v>79</v>
      </c>
      <c r="J128" s="4" t="s">
        <v>80</v>
      </c>
      <c r="K128" s="4" t="s">
        <v>244</v>
      </c>
      <c r="L128" s="6" t="s">
        <v>48</v>
      </c>
      <c r="M128" s="4" t="s">
        <v>41</v>
      </c>
      <c r="N128" s="4" t="s">
        <v>49</v>
      </c>
      <c r="O128" s="4">
        <f t="shared" si="9"/>
        <v>26.068000000000001</v>
      </c>
      <c r="P128" s="4">
        <v>196</v>
      </c>
      <c r="S128" s="4">
        <v>13.3</v>
      </c>
      <c r="U128" s="4">
        <v>31.4</v>
      </c>
    </row>
    <row r="129" spans="1:28" ht="42.45" hidden="1" x14ac:dyDescent="0.35">
      <c r="A129" s="4" t="s">
        <v>45</v>
      </c>
      <c r="C129" s="4">
        <v>1130</v>
      </c>
      <c r="D129" s="4">
        <v>3</v>
      </c>
      <c r="E129" s="12" t="s">
        <v>46</v>
      </c>
      <c r="F129" s="4">
        <v>2023</v>
      </c>
      <c r="G129" s="4" t="s">
        <v>32</v>
      </c>
      <c r="H129" s="4" t="s">
        <v>47</v>
      </c>
      <c r="I129" s="4" t="s">
        <v>79</v>
      </c>
      <c r="J129" s="4" t="s">
        <v>80</v>
      </c>
      <c r="K129" s="4" t="s">
        <v>244</v>
      </c>
      <c r="L129" s="6" t="s">
        <v>48</v>
      </c>
      <c r="M129" s="4" t="s">
        <v>41</v>
      </c>
      <c r="N129" s="4" t="s">
        <v>192</v>
      </c>
      <c r="O129" s="4">
        <f t="shared" si="9"/>
        <v>6.0860000000000003</v>
      </c>
      <c r="P129" s="4">
        <v>179</v>
      </c>
      <c r="S129" s="4">
        <v>3.4</v>
      </c>
      <c r="T129" s="4">
        <v>11.5</v>
      </c>
      <c r="U129" s="4">
        <v>11.5</v>
      </c>
      <c r="W129" s="4">
        <v>375</v>
      </c>
    </row>
    <row r="130" spans="1:28" ht="42.45" hidden="1" x14ac:dyDescent="0.35">
      <c r="A130" s="4" t="s">
        <v>45</v>
      </c>
      <c r="C130" s="4">
        <v>1030</v>
      </c>
      <c r="D130" s="4">
        <v>1</v>
      </c>
      <c r="E130" s="12" t="s">
        <v>22</v>
      </c>
      <c r="F130" s="4">
        <v>2022</v>
      </c>
      <c r="G130" s="4" t="s">
        <v>32</v>
      </c>
      <c r="H130" s="4" t="s">
        <v>55</v>
      </c>
      <c r="I130" s="4" t="s">
        <v>64</v>
      </c>
      <c r="J130" s="4">
        <v>0</v>
      </c>
      <c r="K130" s="4" t="s">
        <v>244</v>
      </c>
      <c r="L130" s="6" t="s">
        <v>48</v>
      </c>
      <c r="M130" s="4" t="s">
        <v>37</v>
      </c>
      <c r="N130" s="4" t="s">
        <v>51</v>
      </c>
      <c r="O130" s="4">
        <f>P130*T130/100</f>
        <v>48.98</v>
      </c>
      <c r="P130" s="4">
        <v>124</v>
      </c>
      <c r="T130" s="4">
        <v>39.5</v>
      </c>
    </row>
    <row r="131" spans="1:28" ht="42.45" hidden="1" x14ac:dyDescent="0.35">
      <c r="A131" s="4" t="s">
        <v>45</v>
      </c>
      <c r="C131" s="4">
        <v>1030</v>
      </c>
      <c r="D131" s="4">
        <v>1</v>
      </c>
      <c r="E131" s="12" t="s">
        <v>22</v>
      </c>
      <c r="F131" s="4">
        <v>2022</v>
      </c>
      <c r="G131" s="4" t="s">
        <v>32</v>
      </c>
      <c r="H131" s="4" t="s">
        <v>55</v>
      </c>
      <c r="I131" s="4" t="s">
        <v>64</v>
      </c>
      <c r="J131" s="4">
        <v>0</v>
      </c>
      <c r="K131" s="4" t="s">
        <v>244</v>
      </c>
      <c r="L131" s="6" t="s">
        <v>48</v>
      </c>
      <c r="M131" s="4" t="s">
        <v>37</v>
      </c>
      <c r="N131" s="4" t="s">
        <v>192</v>
      </c>
      <c r="O131" s="4">
        <f>P131*T131/100</f>
        <v>5.0309999999999997</v>
      </c>
      <c r="P131" s="4">
        <v>117</v>
      </c>
      <c r="S131" s="4">
        <v>241</v>
      </c>
      <c r="T131" s="4">
        <v>4.3</v>
      </c>
    </row>
    <row r="132" spans="1:28" ht="42.45" hidden="1" x14ac:dyDescent="0.35">
      <c r="A132" s="4" t="s">
        <v>45</v>
      </c>
      <c r="C132" s="4">
        <v>1130</v>
      </c>
      <c r="D132" s="4">
        <v>3</v>
      </c>
      <c r="E132" s="12" t="s">
        <v>46</v>
      </c>
      <c r="F132" s="4">
        <v>2023</v>
      </c>
      <c r="G132" s="4" t="s">
        <v>32</v>
      </c>
      <c r="H132" s="4" t="s">
        <v>47</v>
      </c>
      <c r="I132" s="4" t="s">
        <v>79</v>
      </c>
      <c r="J132" s="4" t="s">
        <v>81</v>
      </c>
      <c r="K132" s="4" t="s">
        <v>244</v>
      </c>
      <c r="L132" s="6" t="s">
        <v>48</v>
      </c>
      <c r="M132" s="4" t="s">
        <v>41</v>
      </c>
      <c r="N132" s="4" t="s">
        <v>49</v>
      </c>
      <c r="O132" s="4">
        <f>ROUND(P132*S132/100,0)</f>
        <v>36</v>
      </c>
      <c r="P132" s="4">
        <v>169</v>
      </c>
      <c r="S132" s="4">
        <v>21.3</v>
      </c>
    </row>
    <row r="133" spans="1:28" ht="42.45" hidden="1" x14ac:dyDescent="0.35">
      <c r="A133" s="4" t="s">
        <v>45</v>
      </c>
      <c r="C133" s="4">
        <v>1130</v>
      </c>
      <c r="D133" s="4">
        <v>3</v>
      </c>
      <c r="E133" s="12" t="s">
        <v>46</v>
      </c>
      <c r="F133" s="4">
        <v>2023</v>
      </c>
      <c r="G133" s="4" t="s">
        <v>32</v>
      </c>
      <c r="H133" s="4" t="s">
        <v>47</v>
      </c>
      <c r="I133" s="4" t="s">
        <v>79</v>
      </c>
      <c r="J133" s="4" t="s">
        <v>81</v>
      </c>
      <c r="K133" s="4" t="s">
        <v>244</v>
      </c>
      <c r="L133" s="6" t="s">
        <v>48</v>
      </c>
      <c r="M133" s="4" t="s">
        <v>41</v>
      </c>
      <c r="N133" s="4" t="s">
        <v>192</v>
      </c>
      <c r="O133" s="4">
        <f>ROUND(P133*S133/100,0)</f>
        <v>10</v>
      </c>
      <c r="P133" s="4">
        <v>191</v>
      </c>
      <c r="S133" s="4">
        <v>5.2</v>
      </c>
      <c r="W133" s="4">
        <v>360</v>
      </c>
    </row>
    <row r="134" spans="1:28" ht="42.45" hidden="1" x14ac:dyDescent="0.35">
      <c r="A134" s="4" t="s">
        <v>45</v>
      </c>
      <c r="C134" s="4">
        <v>1030</v>
      </c>
      <c r="D134" s="4">
        <v>1</v>
      </c>
      <c r="E134" s="12" t="s">
        <v>22</v>
      </c>
      <c r="F134" s="4">
        <v>2022</v>
      </c>
      <c r="G134" s="4" t="s">
        <v>32</v>
      </c>
      <c r="H134" s="4" t="s">
        <v>47</v>
      </c>
      <c r="I134" s="4" t="s">
        <v>77</v>
      </c>
      <c r="J134" s="4" t="s">
        <v>82</v>
      </c>
      <c r="K134" s="4" t="s">
        <v>244</v>
      </c>
      <c r="L134" s="6" t="s">
        <v>48</v>
      </c>
      <c r="M134" s="4" t="s">
        <v>37</v>
      </c>
      <c r="N134" s="4" t="s">
        <v>192</v>
      </c>
      <c r="O134" s="4">
        <f>P134*S134/100</f>
        <v>2.9759999999999995</v>
      </c>
      <c r="P134" s="4">
        <v>62</v>
      </c>
      <c r="S134" s="4">
        <v>4.8</v>
      </c>
    </row>
    <row r="135" spans="1:28" ht="42.45" hidden="1" x14ac:dyDescent="0.35">
      <c r="A135" s="4" t="s">
        <v>45</v>
      </c>
      <c r="C135" s="4">
        <v>1030</v>
      </c>
      <c r="D135" s="4">
        <v>1</v>
      </c>
      <c r="E135" s="12" t="s">
        <v>22</v>
      </c>
      <c r="F135" s="4">
        <v>2022</v>
      </c>
      <c r="G135" s="4" t="s">
        <v>32</v>
      </c>
      <c r="H135" s="4" t="s">
        <v>47</v>
      </c>
      <c r="I135" s="4" t="s">
        <v>77</v>
      </c>
      <c r="J135" s="4" t="s">
        <v>82</v>
      </c>
      <c r="K135" s="4" t="s">
        <v>244</v>
      </c>
      <c r="L135" s="6" t="s">
        <v>48</v>
      </c>
      <c r="M135" s="4" t="s">
        <v>37</v>
      </c>
      <c r="N135" s="4" t="s">
        <v>51</v>
      </c>
      <c r="O135" s="4">
        <f>P135*S135/100</f>
        <v>17.03</v>
      </c>
      <c r="P135" s="4">
        <v>65</v>
      </c>
      <c r="S135" s="4">
        <v>26.2</v>
      </c>
      <c r="X135" s="4">
        <v>128</v>
      </c>
    </row>
    <row r="136" spans="1:28" ht="42.45" hidden="1" x14ac:dyDescent="0.35">
      <c r="A136" s="4" t="s">
        <v>45</v>
      </c>
      <c r="C136" s="4">
        <v>1020</v>
      </c>
      <c r="D136" s="4">
        <v>2</v>
      </c>
      <c r="E136" s="12" t="s">
        <v>52</v>
      </c>
      <c r="F136" s="4">
        <v>2024</v>
      </c>
      <c r="G136" s="4" t="s">
        <v>32</v>
      </c>
      <c r="H136" s="4" t="s">
        <v>47</v>
      </c>
      <c r="I136" s="4" t="s">
        <v>77</v>
      </c>
      <c r="J136" s="4" t="s">
        <v>83</v>
      </c>
      <c r="K136" s="4" t="s">
        <v>244</v>
      </c>
      <c r="L136" s="6" t="s">
        <v>48</v>
      </c>
      <c r="M136" s="4" t="s">
        <v>41</v>
      </c>
      <c r="N136" s="4" t="s">
        <v>53</v>
      </c>
      <c r="O136" s="4">
        <f>P136*S136/100</f>
        <v>23.975999999999999</v>
      </c>
      <c r="P136" s="4">
        <v>81</v>
      </c>
      <c r="S136" s="4">
        <v>29.6</v>
      </c>
    </row>
    <row r="137" spans="1:28" ht="42.45" hidden="1" x14ac:dyDescent="0.35">
      <c r="A137" s="4" t="s">
        <v>45</v>
      </c>
      <c r="C137" s="4">
        <v>1020</v>
      </c>
      <c r="D137" s="4">
        <v>2</v>
      </c>
      <c r="E137" s="12" t="s">
        <v>52</v>
      </c>
      <c r="F137" s="4">
        <v>2024</v>
      </c>
      <c r="G137" s="4" t="s">
        <v>32</v>
      </c>
      <c r="H137" s="4" t="s">
        <v>47</v>
      </c>
      <c r="I137" s="4" t="s">
        <v>77</v>
      </c>
      <c r="J137" s="4" t="s">
        <v>83</v>
      </c>
      <c r="K137" s="4" t="s">
        <v>244</v>
      </c>
      <c r="L137" s="6" t="s">
        <v>48</v>
      </c>
      <c r="M137" s="4" t="s">
        <v>41</v>
      </c>
      <c r="N137" s="4" t="s">
        <v>192</v>
      </c>
      <c r="O137" s="4">
        <f>P137*S137/100</f>
        <v>2.9969999999999999</v>
      </c>
      <c r="P137" s="4">
        <v>81</v>
      </c>
      <c r="S137" s="4">
        <v>3.7</v>
      </c>
    </row>
    <row r="138" spans="1:28" ht="42.45" hidden="1" x14ac:dyDescent="0.35">
      <c r="A138" s="4" t="s">
        <v>45</v>
      </c>
      <c r="C138" s="4">
        <v>1010</v>
      </c>
      <c r="D138" s="4">
        <v>6</v>
      </c>
      <c r="E138" s="12" t="s">
        <v>40</v>
      </c>
      <c r="F138" s="4">
        <v>2024</v>
      </c>
      <c r="G138" s="4" t="s">
        <v>32</v>
      </c>
      <c r="H138" s="4" t="s">
        <v>50</v>
      </c>
      <c r="I138" s="4" t="s">
        <v>77</v>
      </c>
      <c r="J138" s="4" t="s">
        <v>84</v>
      </c>
      <c r="K138" s="4" t="s">
        <v>244</v>
      </c>
      <c r="L138" s="6" t="s">
        <v>48</v>
      </c>
      <c r="M138" s="4" t="s">
        <v>41</v>
      </c>
      <c r="N138" s="4" t="s">
        <v>42</v>
      </c>
      <c r="O138" s="4">
        <v>55</v>
      </c>
      <c r="P138" s="4">
        <v>132</v>
      </c>
      <c r="AA138" s="10">
        <v>44977</v>
      </c>
      <c r="AB138" s="4">
        <v>1783</v>
      </c>
    </row>
    <row r="139" spans="1:28" ht="42.45" hidden="1" x14ac:dyDescent="0.35">
      <c r="A139" s="4" t="s">
        <v>45</v>
      </c>
      <c r="C139" s="4">
        <v>1010</v>
      </c>
      <c r="D139" s="4">
        <v>6</v>
      </c>
      <c r="E139" s="12" t="s">
        <v>40</v>
      </c>
      <c r="F139" s="4">
        <v>2024</v>
      </c>
      <c r="G139" s="4" t="s">
        <v>32</v>
      </c>
      <c r="H139" s="4" t="s">
        <v>50</v>
      </c>
      <c r="I139" s="4" t="s">
        <v>77</v>
      </c>
      <c r="J139" s="4" t="s">
        <v>84</v>
      </c>
      <c r="K139" s="4" t="s">
        <v>244</v>
      </c>
      <c r="L139" s="6" t="s">
        <v>48</v>
      </c>
      <c r="M139" s="4" t="s">
        <v>41</v>
      </c>
      <c r="N139" s="4" t="s">
        <v>192</v>
      </c>
      <c r="O139" s="4">
        <v>8</v>
      </c>
      <c r="P139" s="4">
        <v>132</v>
      </c>
      <c r="AA139" s="10">
        <v>44977</v>
      </c>
      <c r="AB139" s="4">
        <v>1783</v>
      </c>
    </row>
    <row r="140" spans="1:28" ht="42.45" hidden="1" x14ac:dyDescent="0.35">
      <c r="A140" s="4" t="s">
        <v>45</v>
      </c>
      <c r="C140" s="4">
        <v>1030</v>
      </c>
      <c r="D140" s="4">
        <v>1</v>
      </c>
      <c r="E140" s="12" t="s">
        <v>22</v>
      </c>
      <c r="F140" s="4">
        <v>2022</v>
      </c>
      <c r="G140" s="4" t="s">
        <v>32</v>
      </c>
      <c r="H140" s="4" t="s">
        <v>55</v>
      </c>
      <c r="I140" s="4" t="s">
        <v>77</v>
      </c>
      <c r="J140" s="4" t="s">
        <v>84</v>
      </c>
      <c r="K140" s="4" t="s">
        <v>244</v>
      </c>
      <c r="L140" s="6" t="s">
        <v>48</v>
      </c>
      <c r="M140" s="4" t="s">
        <v>37</v>
      </c>
      <c r="N140" s="4" t="s">
        <v>51</v>
      </c>
      <c r="O140" s="4">
        <f>P140*T140/100</f>
        <v>45.991000000000007</v>
      </c>
      <c r="P140" s="4">
        <v>113</v>
      </c>
      <c r="T140" s="4">
        <v>40.700000000000003</v>
      </c>
    </row>
    <row r="141" spans="1:28" ht="42.45" hidden="1" x14ac:dyDescent="0.35">
      <c r="A141" s="4" t="s">
        <v>45</v>
      </c>
      <c r="C141" s="4">
        <v>1030</v>
      </c>
      <c r="D141" s="4">
        <v>1</v>
      </c>
      <c r="E141" s="12" t="s">
        <v>22</v>
      </c>
      <c r="F141" s="4">
        <v>2022</v>
      </c>
      <c r="G141" s="4" t="s">
        <v>32</v>
      </c>
      <c r="H141" s="4" t="s">
        <v>55</v>
      </c>
      <c r="I141" s="4" t="s">
        <v>77</v>
      </c>
      <c r="J141" s="4" t="s">
        <v>84</v>
      </c>
      <c r="K141" s="4" t="s">
        <v>244</v>
      </c>
      <c r="L141" s="6" t="s">
        <v>48</v>
      </c>
      <c r="M141" s="4" t="s">
        <v>37</v>
      </c>
      <c r="N141" s="4" t="s">
        <v>192</v>
      </c>
      <c r="O141" s="4">
        <f>P141*T141/100</f>
        <v>11.04</v>
      </c>
      <c r="P141" s="4">
        <v>115</v>
      </c>
      <c r="S141" s="4">
        <v>228</v>
      </c>
      <c r="T141" s="4">
        <v>9.6</v>
      </c>
    </row>
    <row r="142" spans="1:28" ht="42.45" hidden="1" x14ac:dyDescent="0.35">
      <c r="A142" s="4" t="s">
        <v>45</v>
      </c>
      <c r="C142" s="4">
        <v>1030</v>
      </c>
      <c r="D142" s="4">
        <v>1</v>
      </c>
      <c r="E142" s="12" t="s">
        <v>22</v>
      </c>
      <c r="F142" s="4">
        <v>2022</v>
      </c>
      <c r="G142" s="4" t="s">
        <v>32</v>
      </c>
      <c r="H142" s="4" t="s">
        <v>47</v>
      </c>
      <c r="I142" s="4" t="s">
        <v>77</v>
      </c>
      <c r="J142" s="4" t="s">
        <v>84</v>
      </c>
      <c r="K142" s="4" t="s">
        <v>244</v>
      </c>
      <c r="L142" s="6" t="s">
        <v>48</v>
      </c>
      <c r="M142" s="4" t="s">
        <v>37</v>
      </c>
      <c r="N142" s="4" t="s">
        <v>192</v>
      </c>
      <c r="O142" s="4">
        <f t="shared" ref="O142:O147" si="10">P142*S142/100</f>
        <v>1.0349999999999999</v>
      </c>
      <c r="P142" s="4">
        <v>115</v>
      </c>
      <c r="S142" s="4">
        <v>0.9</v>
      </c>
    </row>
    <row r="143" spans="1:28" ht="42.45" hidden="1" x14ac:dyDescent="0.35">
      <c r="A143" s="4" t="s">
        <v>45</v>
      </c>
      <c r="C143" s="4">
        <v>1030</v>
      </c>
      <c r="D143" s="4">
        <v>1</v>
      </c>
      <c r="E143" s="12" t="s">
        <v>22</v>
      </c>
      <c r="F143" s="4">
        <v>2022</v>
      </c>
      <c r="G143" s="4" t="s">
        <v>32</v>
      </c>
      <c r="H143" s="4" t="s">
        <v>47</v>
      </c>
      <c r="I143" s="4" t="s">
        <v>77</v>
      </c>
      <c r="J143" s="4" t="s">
        <v>84</v>
      </c>
      <c r="K143" s="4" t="s">
        <v>244</v>
      </c>
      <c r="L143" s="6" t="s">
        <v>48</v>
      </c>
      <c r="M143" s="4" t="s">
        <v>37</v>
      </c>
      <c r="N143" s="4" t="s">
        <v>51</v>
      </c>
      <c r="O143" s="4">
        <f t="shared" si="10"/>
        <v>25.99</v>
      </c>
      <c r="P143" s="4">
        <v>113</v>
      </c>
      <c r="S143" s="4">
        <v>23</v>
      </c>
      <c r="X143" s="4">
        <v>228</v>
      </c>
    </row>
    <row r="144" spans="1:28" ht="42.45" hidden="1" x14ac:dyDescent="0.35">
      <c r="A144" s="4" t="s">
        <v>45</v>
      </c>
      <c r="C144" s="4">
        <v>1020</v>
      </c>
      <c r="D144" s="4">
        <v>2</v>
      </c>
      <c r="E144" s="12" t="s">
        <v>52</v>
      </c>
      <c r="F144" s="4">
        <v>2024</v>
      </c>
      <c r="G144" s="4" t="s">
        <v>32</v>
      </c>
      <c r="H144" s="4" t="s">
        <v>47</v>
      </c>
      <c r="I144" s="4" t="s">
        <v>77</v>
      </c>
      <c r="J144" s="4" t="s">
        <v>23</v>
      </c>
      <c r="K144" s="4" t="s">
        <v>244</v>
      </c>
      <c r="L144" s="6" t="s">
        <v>48</v>
      </c>
      <c r="M144" s="4" t="s">
        <v>41</v>
      </c>
      <c r="N144" s="4" t="s">
        <v>53</v>
      </c>
      <c r="O144" s="4">
        <f t="shared" si="10"/>
        <v>33.58</v>
      </c>
      <c r="P144" s="4">
        <v>146</v>
      </c>
      <c r="S144" s="4">
        <v>23</v>
      </c>
    </row>
    <row r="145" spans="1:24" ht="42.45" hidden="1" x14ac:dyDescent="0.35">
      <c r="A145" s="4" t="s">
        <v>45</v>
      </c>
      <c r="C145" s="4">
        <v>1020</v>
      </c>
      <c r="D145" s="4">
        <v>2</v>
      </c>
      <c r="E145" s="12" t="s">
        <v>52</v>
      </c>
      <c r="F145" s="4">
        <v>2024</v>
      </c>
      <c r="G145" s="4" t="s">
        <v>32</v>
      </c>
      <c r="H145" s="4" t="s">
        <v>47</v>
      </c>
      <c r="I145" s="4" t="s">
        <v>77</v>
      </c>
      <c r="J145" s="4" t="s">
        <v>23</v>
      </c>
      <c r="K145" s="4" t="s">
        <v>244</v>
      </c>
      <c r="L145" s="6" t="s">
        <v>48</v>
      </c>
      <c r="M145" s="4" t="s">
        <v>41</v>
      </c>
      <c r="N145" s="4" t="s">
        <v>192</v>
      </c>
      <c r="O145" s="4">
        <f t="shared" si="10"/>
        <v>7.8969999999999994</v>
      </c>
      <c r="P145" s="4">
        <v>149</v>
      </c>
      <c r="S145" s="4">
        <v>5.3</v>
      </c>
    </row>
    <row r="146" spans="1:24" ht="42.45" hidden="1" x14ac:dyDescent="0.35">
      <c r="A146" s="4" t="s">
        <v>45</v>
      </c>
      <c r="C146" s="4">
        <v>1130</v>
      </c>
      <c r="D146" s="4">
        <v>3</v>
      </c>
      <c r="E146" s="12" t="s">
        <v>46</v>
      </c>
      <c r="F146" s="4">
        <v>2023</v>
      </c>
      <c r="G146" s="4" t="s">
        <v>32</v>
      </c>
      <c r="H146" s="4" t="s">
        <v>47</v>
      </c>
      <c r="I146" s="4" t="s">
        <v>77</v>
      </c>
      <c r="J146" s="4" t="s">
        <v>83</v>
      </c>
      <c r="K146" s="4" t="s">
        <v>244</v>
      </c>
      <c r="L146" s="6" t="s">
        <v>48</v>
      </c>
      <c r="M146" s="4" t="s">
        <v>41</v>
      </c>
      <c r="N146" s="4" t="s">
        <v>49</v>
      </c>
      <c r="O146" s="4">
        <f t="shared" si="10"/>
        <v>22.047999999999998</v>
      </c>
      <c r="P146" s="4">
        <v>104</v>
      </c>
      <c r="S146" s="4">
        <v>21.2</v>
      </c>
    </row>
    <row r="147" spans="1:24" ht="42.45" hidden="1" x14ac:dyDescent="0.35">
      <c r="A147" s="4" t="s">
        <v>45</v>
      </c>
      <c r="C147" s="4">
        <v>1130</v>
      </c>
      <c r="D147" s="4">
        <v>3</v>
      </c>
      <c r="E147" s="12" t="s">
        <v>46</v>
      </c>
      <c r="F147" s="4">
        <v>2023</v>
      </c>
      <c r="G147" s="4" t="s">
        <v>32</v>
      </c>
      <c r="H147" s="4" t="s">
        <v>47</v>
      </c>
      <c r="I147" s="4" t="s">
        <v>77</v>
      </c>
      <c r="J147" s="4" t="s">
        <v>83</v>
      </c>
      <c r="K147" s="4" t="s">
        <v>244</v>
      </c>
      <c r="L147" s="6" t="s">
        <v>48</v>
      </c>
      <c r="M147" s="4" t="s">
        <v>41</v>
      </c>
      <c r="N147" s="4" t="s">
        <v>192</v>
      </c>
      <c r="O147" s="4">
        <f t="shared" si="10"/>
        <v>4.95</v>
      </c>
      <c r="P147" s="4">
        <v>110</v>
      </c>
      <c r="S147" s="4">
        <v>4.5</v>
      </c>
      <c r="W147" s="4">
        <v>214</v>
      </c>
    </row>
    <row r="148" spans="1:24" ht="42.45" hidden="1" x14ac:dyDescent="0.35">
      <c r="A148" s="4" t="s">
        <v>45</v>
      </c>
      <c r="C148" s="4">
        <v>1030</v>
      </c>
      <c r="D148" s="4">
        <v>1</v>
      </c>
      <c r="E148" s="12" t="s">
        <v>22</v>
      </c>
      <c r="F148" s="4">
        <v>2022</v>
      </c>
      <c r="G148" s="4" t="s">
        <v>32</v>
      </c>
      <c r="H148" s="4" t="s">
        <v>55</v>
      </c>
      <c r="I148" s="4" t="s">
        <v>77</v>
      </c>
      <c r="J148" s="4" t="s">
        <v>82</v>
      </c>
      <c r="K148" s="4" t="s">
        <v>244</v>
      </c>
      <c r="L148" s="6" t="s">
        <v>48</v>
      </c>
      <c r="M148" s="4" t="s">
        <v>37</v>
      </c>
      <c r="N148" s="4" t="s">
        <v>51</v>
      </c>
      <c r="O148" s="4">
        <f>P148*T148/100</f>
        <v>20.02</v>
      </c>
      <c r="P148" s="4">
        <v>65</v>
      </c>
      <c r="T148" s="4">
        <v>30.8</v>
      </c>
    </row>
    <row r="149" spans="1:24" ht="42.45" hidden="1" x14ac:dyDescent="0.35">
      <c r="A149" s="4" t="s">
        <v>45</v>
      </c>
      <c r="C149" s="4">
        <v>1030</v>
      </c>
      <c r="D149" s="4">
        <v>1</v>
      </c>
      <c r="E149" s="12" t="s">
        <v>22</v>
      </c>
      <c r="F149" s="4">
        <v>2022</v>
      </c>
      <c r="G149" s="4" t="s">
        <v>32</v>
      </c>
      <c r="H149" s="4" t="s">
        <v>55</v>
      </c>
      <c r="I149" s="4" t="s">
        <v>77</v>
      </c>
      <c r="J149" s="4" t="s">
        <v>82</v>
      </c>
      <c r="K149" s="4" t="s">
        <v>244</v>
      </c>
      <c r="L149" s="6" t="s">
        <v>48</v>
      </c>
      <c r="M149" s="4" t="s">
        <v>37</v>
      </c>
      <c r="N149" s="4" t="s">
        <v>192</v>
      </c>
      <c r="O149" s="4">
        <f>P149*T149/100</f>
        <v>4.8979999999999997</v>
      </c>
      <c r="P149" s="4">
        <v>62</v>
      </c>
      <c r="S149" s="4">
        <v>128</v>
      </c>
      <c r="T149" s="4">
        <v>7.9</v>
      </c>
    </row>
    <row r="150" spans="1:24" ht="42.45" hidden="1" x14ac:dyDescent="0.35">
      <c r="A150" s="4" t="s">
        <v>45</v>
      </c>
      <c r="C150" s="4">
        <v>1030</v>
      </c>
      <c r="D150" s="4">
        <v>1</v>
      </c>
      <c r="E150" s="12" t="s">
        <v>22</v>
      </c>
      <c r="F150" s="4">
        <v>2022</v>
      </c>
      <c r="G150" s="4" t="s">
        <v>32</v>
      </c>
      <c r="H150" s="4" t="s">
        <v>47</v>
      </c>
      <c r="I150" s="4" t="s">
        <v>79</v>
      </c>
      <c r="J150" s="4" t="s">
        <v>80</v>
      </c>
      <c r="K150" s="4" t="s">
        <v>244</v>
      </c>
      <c r="L150" s="6" t="s">
        <v>48</v>
      </c>
      <c r="M150" s="4" t="s">
        <v>37</v>
      </c>
      <c r="N150" s="4" t="s">
        <v>192</v>
      </c>
      <c r="O150" s="4">
        <f t="shared" ref="O150:O155" si="11">P150*S150/100</f>
        <v>0</v>
      </c>
      <c r="P150" s="4">
        <v>84</v>
      </c>
      <c r="S150" s="4">
        <v>0</v>
      </c>
      <c r="U150" s="4">
        <v>38.799999999999997</v>
      </c>
    </row>
    <row r="151" spans="1:24" ht="42.45" hidden="1" x14ac:dyDescent="0.35">
      <c r="A151" s="4" t="s">
        <v>45</v>
      </c>
      <c r="C151" s="4">
        <v>1030</v>
      </c>
      <c r="D151" s="4">
        <v>1</v>
      </c>
      <c r="E151" s="12" t="s">
        <v>22</v>
      </c>
      <c r="F151" s="4">
        <v>2022</v>
      </c>
      <c r="G151" s="4" t="s">
        <v>32</v>
      </c>
      <c r="H151" s="4" t="s">
        <v>47</v>
      </c>
      <c r="I151" s="4" t="s">
        <v>79</v>
      </c>
      <c r="J151" s="4" t="s">
        <v>80</v>
      </c>
      <c r="K151" s="4" t="s">
        <v>244</v>
      </c>
      <c r="L151" s="6" t="s">
        <v>48</v>
      </c>
      <c r="M151" s="4" t="s">
        <v>37</v>
      </c>
      <c r="N151" s="4" t="s">
        <v>51</v>
      </c>
      <c r="O151" s="4">
        <f t="shared" si="11"/>
        <v>20.975999999999999</v>
      </c>
      <c r="P151" s="4">
        <v>92</v>
      </c>
      <c r="S151" s="4">
        <v>22.8</v>
      </c>
      <c r="T151" s="4">
        <v>8.6999999999999993</v>
      </c>
      <c r="U151" s="4">
        <v>8.6999999999999993</v>
      </c>
      <c r="X151" s="4">
        <v>176</v>
      </c>
    </row>
    <row r="152" spans="1:24" ht="42.45" hidden="1" x14ac:dyDescent="0.35">
      <c r="A152" s="4" t="s">
        <v>45</v>
      </c>
      <c r="C152" s="4">
        <v>1020</v>
      </c>
      <c r="D152" s="4">
        <v>2</v>
      </c>
      <c r="E152" s="12" t="s">
        <v>52</v>
      </c>
      <c r="F152" s="4">
        <v>2024</v>
      </c>
      <c r="G152" s="4" t="s">
        <v>32</v>
      </c>
      <c r="H152" s="4" t="s">
        <v>47</v>
      </c>
      <c r="I152" s="4" t="s">
        <v>79</v>
      </c>
      <c r="J152" s="4" t="s">
        <v>80</v>
      </c>
      <c r="K152" s="4" t="s">
        <v>244</v>
      </c>
      <c r="L152" s="6" t="s">
        <v>48</v>
      </c>
      <c r="M152" s="4" t="s">
        <v>41</v>
      </c>
      <c r="N152" s="4" t="s">
        <v>53</v>
      </c>
      <c r="O152" s="4">
        <f t="shared" si="11"/>
        <v>24.973000000000003</v>
      </c>
      <c r="P152" s="4">
        <v>113</v>
      </c>
      <c r="S152" s="4">
        <v>22.1</v>
      </c>
      <c r="U152" s="4">
        <v>41.2</v>
      </c>
    </row>
    <row r="153" spans="1:24" ht="42.45" hidden="1" x14ac:dyDescent="0.35">
      <c r="A153" s="4" t="s">
        <v>45</v>
      </c>
      <c r="C153" s="4">
        <v>1020</v>
      </c>
      <c r="D153" s="4">
        <v>2</v>
      </c>
      <c r="E153" s="12" t="s">
        <v>52</v>
      </c>
      <c r="F153" s="4">
        <v>2024</v>
      </c>
      <c r="G153" s="4" t="s">
        <v>32</v>
      </c>
      <c r="H153" s="4" t="s">
        <v>47</v>
      </c>
      <c r="I153" s="4" t="s">
        <v>79</v>
      </c>
      <c r="J153" s="4" t="s">
        <v>80</v>
      </c>
      <c r="K153" s="4" t="s">
        <v>244</v>
      </c>
      <c r="L153" s="6" t="s">
        <v>48</v>
      </c>
      <c r="M153" s="4" t="s">
        <v>41</v>
      </c>
      <c r="N153" s="4" t="s">
        <v>192</v>
      </c>
      <c r="O153" s="4">
        <f t="shared" si="11"/>
        <v>3.99</v>
      </c>
      <c r="P153" s="4">
        <v>114</v>
      </c>
      <c r="S153" s="4">
        <v>3.5</v>
      </c>
      <c r="T153" s="4">
        <v>4.3</v>
      </c>
      <c r="U153" s="4">
        <v>4.3</v>
      </c>
    </row>
    <row r="154" spans="1:24" ht="42.45" hidden="1" x14ac:dyDescent="0.35">
      <c r="A154" s="4" t="s">
        <v>45</v>
      </c>
      <c r="C154" s="4">
        <v>1130</v>
      </c>
      <c r="D154" s="4">
        <v>3</v>
      </c>
      <c r="E154" s="12" t="s">
        <v>46</v>
      </c>
      <c r="F154" s="4">
        <v>2023</v>
      </c>
      <c r="G154" s="4" t="s">
        <v>32</v>
      </c>
      <c r="H154" s="4" t="s">
        <v>47</v>
      </c>
      <c r="I154" s="4" t="s">
        <v>77</v>
      </c>
      <c r="J154" s="4" t="s">
        <v>84</v>
      </c>
      <c r="K154" s="4" t="s">
        <v>244</v>
      </c>
      <c r="L154" s="6" t="s">
        <v>48</v>
      </c>
      <c r="M154" s="4" t="s">
        <v>41</v>
      </c>
      <c r="N154" s="4" t="s">
        <v>49</v>
      </c>
      <c r="O154" s="4">
        <f t="shared" si="11"/>
        <v>32.005000000000003</v>
      </c>
      <c r="P154" s="4">
        <v>173</v>
      </c>
      <c r="S154" s="4">
        <v>18.5</v>
      </c>
    </row>
    <row r="155" spans="1:24" ht="42.45" hidden="1" x14ac:dyDescent="0.35">
      <c r="A155" s="4" t="s">
        <v>45</v>
      </c>
      <c r="C155" s="4">
        <v>1130</v>
      </c>
      <c r="D155" s="4">
        <v>3</v>
      </c>
      <c r="E155" s="12" t="s">
        <v>46</v>
      </c>
      <c r="F155" s="4">
        <v>2023</v>
      </c>
      <c r="G155" s="4" t="s">
        <v>32</v>
      </c>
      <c r="H155" s="4" t="s">
        <v>47</v>
      </c>
      <c r="I155" s="4" t="s">
        <v>77</v>
      </c>
      <c r="J155" s="4" t="s">
        <v>84</v>
      </c>
      <c r="K155" s="4" t="s">
        <v>244</v>
      </c>
      <c r="L155" s="6" t="s">
        <v>48</v>
      </c>
      <c r="M155" s="4" t="s">
        <v>41</v>
      </c>
      <c r="N155" s="4" t="s">
        <v>192</v>
      </c>
      <c r="O155" s="4">
        <f t="shared" si="11"/>
        <v>7.92</v>
      </c>
      <c r="P155" s="4">
        <v>165</v>
      </c>
      <c r="S155" s="4">
        <v>4.8</v>
      </c>
      <c r="W155" s="4">
        <v>338</v>
      </c>
    </row>
    <row r="156" spans="1:24" s="12" customFormat="1" ht="42.45" hidden="1" x14ac:dyDescent="0.35">
      <c r="A156" s="12" t="s">
        <v>45</v>
      </c>
      <c r="C156" s="12">
        <v>1030</v>
      </c>
      <c r="D156" s="12">
        <v>1</v>
      </c>
      <c r="E156" s="12" t="s">
        <v>22</v>
      </c>
      <c r="F156" s="12">
        <v>2022</v>
      </c>
      <c r="G156" s="12" t="s">
        <v>32</v>
      </c>
      <c r="H156" s="12" t="s">
        <v>55</v>
      </c>
      <c r="I156" s="12" t="s">
        <v>79</v>
      </c>
      <c r="J156" s="12" t="s">
        <v>81</v>
      </c>
      <c r="K156" s="4" t="s">
        <v>244</v>
      </c>
      <c r="L156" s="15" t="s">
        <v>48</v>
      </c>
      <c r="M156" s="12" t="s">
        <v>37</v>
      </c>
      <c r="N156" s="12" t="s">
        <v>51</v>
      </c>
      <c r="O156" s="12">
        <f>P156*T156/100</f>
        <v>30.015000000000001</v>
      </c>
      <c r="P156" s="12">
        <v>87</v>
      </c>
      <c r="T156" s="12">
        <v>34.5</v>
      </c>
    </row>
    <row r="157" spans="1:24" s="12" customFormat="1" ht="42.45" hidden="1" x14ac:dyDescent="0.35">
      <c r="A157" s="12" t="s">
        <v>45</v>
      </c>
      <c r="C157" s="12">
        <v>1030</v>
      </c>
      <c r="D157" s="12">
        <v>1</v>
      </c>
      <c r="E157" s="12" t="s">
        <v>22</v>
      </c>
      <c r="F157" s="12">
        <v>2022</v>
      </c>
      <c r="G157" s="12" t="s">
        <v>32</v>
      </c>
      <c r="H157" s="12" t="s">
        <v>55</v>
      </c>
      <c r="I157" s="12" t="s">
        <v>79</v>
      </c>
      <c r="J157" s="12" t="s">
        <v>81</v>
      </c>
      <c r="K157" s="4" t="s">
        <v>244</v>
      </c>
      <c r="L157" s="15" t="s">
        <v>48</v>
      </c>
      <c r="M157" s="12" t="s">
        <v>37</v>
      </c>
      <c r="N157" s="12" t="s">
        <v>192</v>
      </c>
      <c r="O157" s="12">
        <f>P157*T157/100</f>
        <v>13.015000000000001</v>
      </c>
      <c r="P157" s="12">
        <v>95</v>
      </c>
      <c r="S157" s="12">
        <v>182</v>
      </c>
      <c r="T157" s="12">
        <v>13.7</v>
      </c>
    </row>
    <row r="158" spans="1:24" ht="42.45" hidden="1" x14ac:dyDescent="0.35">
      <c r="A158" s="4" t="s">
        <v>45</v>
      </c>
      <c r="C158" s="4">
        <v>1130</v>
      </c>
      <c r="D158" s="4">
        <v>3</v>
      </c>
      <c r="E158" s="12" t="s">
        <v>46</v>
      </c>
      <c r="F158" s="4">
        <v>2023</v>
      </c>
      <c r="G158" s="4" t="s">
        <v>32</v>
      </c>
      <c r="H158" s="4" t="s">
        <v>47</v>
      </c>
      <c r="I158" s="4" t="s">
        <v>77</v>
      </c>
      <c r="J158" s="4" t="s">
        <v>85</v>
      </c>
      <c r="K158" s="4" t="s">
        <v>244</v>
      </c>
      <c r="L158" s="6" t="s">
        <v>48</v>
      </c>
      <c r="M158" s="4" t="s">
        <v>41</v>
      </c>
      <c r="N158" s="4" t="s">
        <v>49</v>
      </c>
      <c r="O158" s="4">
        <f>P158*S158/100</f>
        <v>8.9759999999999991</v>
      </c>
      <c r="P158" s="4">
        <v>88</v>
      </c>
      <c r="S158" s="4">
        <v>10.199999999999999</v>
      </c>
    </row>
    <row r="159" spans="1:24" ht="42.45" hidden="1" x14ac:dyDescent="0.35">
      <c r="A159" s="4" t="s">
        <v>45</v>
      </c>
      <c r="C159" s="4">
        <v>1130</v>
      </c>
      <c r="D159" s="4">
        <v>3</v>
      </c>
      <c r="E159" s="12" t="s">
        <v>46</v>
      </c>
      <c r="F159" s="4">
        <v>2023</v>
      </c>
      <c r="G159" s="4" t="s">
        <v>32</v>
      </c>
      <c r="H159" s="4" t="s">
        <v>47</v>
      </c>
      <c r="I159" s="4" t="s">
        <v>77</v>
      </c>
      <c r="J159" s="4" t="s">
        <v>85</v>
      </c>
      <c r="K159" s="4" t="s">
        <v>244</v>
      </c>
      <c r="L159" s="6" t="s">
        <v>48</v>
      </c>
      <c r="M159" s="4" t="s">
        <v>41</v>
      </c>
      <c r="N159" s="4" t="s">
        <v>192</v>
      </c>
      <c r="O159" s="4">
        <f>P159*S159/100</f>
        <v>3.0380000000000003</v>
      </c>
      <c r="P159" s="4">
        <v>98</v>
      </c>
      <c r="S159" s="4">
        <v>3.1</v>
      </c>
      <c r="W159" s="4">
        <v>186</v>
      </c>
    </row>
    <row r="160" spans="1:24" s="16" customFormat="1" ht="42.45" hidden="1" x14ac:dyDescent="0.35">
      <c r="A160" s="16" t="s">
        <v>45</v>
      </c>
      <c r="C160" s="16">
        <v>1030</v>
      </c>
      <c r="D160" s="16">
        <v>1</v>
      </c>
      <c r="E160" s="12" t="s">
        <v>22</v>
      </c>
      <c r="F160" s="16">
        <v>2022</v>
      </c>
      <c r="G160" s="16" t="s">
        <v>32</v>
      </c>
      <c r="H160" s="16" t="s">
        <v>47</v>
      </c>
      <c r="I160" s="16" t="s">
        <v>79</v>
      </c>
      <c r="J160" s="16" t="s">
        <v>81</v>
      </c>
      <c r="K160" s="4" t="s">
        <v>244</v>
      </c>
      <c r="L160" s="17" t="s">
        <v>48</v>
      </c>
      <c r="M160" s="16" t="s">
        <v>37</v>
      </c>
      <c r="N160" s="16" t="s">
        <v>51</v>
      </c>
      <c r="O160" s="16">
        <f>ROUND(P160*S160/100,0)</f>
        <v>22</v>
      </c>
      <c r="P160" s="16">
        <v>87</v>
      </c>
      <c r="S160" s="16">
        <v>25.3</v>
      </c>
    </row>
    <row r="161" spans="1:24" s="16" customFormat="1" ht="42.45" hidden="1" x14ac:dyDescent="0.35">
      <c r="A161" s="16" t="s">
        <v>45</v>
      </c>
      <c r="C161" s="16">
        <v>1030</v>
      </c>
      <c r="D161" s="16">
        <v>1</v>
      </c>
      <c r="E161" s="12" t="s">
        <v>22</v>
      </c>
      <c r="F161" s="16">
        <v>2022</v>
      </c>
      <c r="G161" s="16" t="s">
        <v>32</v>
      </c>
      <c r="H161" s="16" t="s">
        <v>47</v>
      </c>
      <c r="I161" s="16" t="s">
        <v>79</v>
      </c>
      <c r="J161" s="16" t="s">
        <v>81</v>
      </c>
      <c r="K161" s="4" t="s">
        <v>244</v>
      </c>
      <c r="L161" s="17" t="s">
        <v>48</v>
      </c>
      <c r="M161" s="16" t="s">
        <v>37</v>
      </c>
      <c r="N161" s="16" t="s">
        <v>192</v>
      </c>
      <c r="O161" s="16">
        <f>ROUND(P161*S161/100,0)</f>
        <v>4</v>
      </c>
      <c r="P161" s="16">
        <v>95</v>
      </c>
      <c r="S161" s="16">
        <v>4.2</v>
      </c>
      <c r="X161" s="16">
        <v>182</v>
      </c>
    </row>
    <row r="162" spans="1:24" ht="42.45" hidden="1" x14ac:dyDescent="0.35">
      <c r="A162" s="4" t="s">
        <v>45</v>
      </c>
      <c r="C162" s="4">
        <v>1020</v>
      </c>
      <c r="D162" s="4">
        <v>2</v>
      </c>
      <c r="E162" s="12" t="s">
        <v>52</v>
      </c>
      <c r="F162" s="4">
        <v>2024</v>
      </c>
      <c r="G162" s="4" t="s">
        <v>32</v>
      </c>
      <c r="H162" s="4" t="s">
        <v>47</v>
      </c>
      <c r="I162" s="4" t="s">
        <v>79</v>
      </c>
      <c r="J162" s="4" t="s">
        <v>81</v>
      </c>
      <c r="K162" s="4" t="s">
        <v>244</v>
      </c>
      <c r="L162" s="6" t="s">
        <v>48</v>
      </c>
      <c r="M162" s="4" t="s">
        <v>41</v>
      </c>
      <c r="N162" s="4" t="s">
        <v>53</v>
      </c>
      <c r="O162" s="4">
        <f>ROUND(P162*S162/100,0)</f>
        <v>33</v>
      </c>
      <c r="P162" s="4">
        <v>116</v>
      </c>
      <c r="S162" s="4">
        <v>28.4</v>
      </c>
    </row>
    <row r="163" spans="1:24" ht="42.45" hidden="1" x14ac:dyDescent="0.35">
      <c r="A163" s="4" t="s">
        <v>45</v>
      </c>
      <c r="C163" s="4">
        <v>1020</v>
      </c>
      <c r="D163" s="4">
        <v>2</v>
      </c>
      <c r="E163" s="12" t="s">
        <v>52</v>
      </c>
      <c r="F163" s="4">
        <v>2024</v>
      </c>
      <c r="G163" s="4" t="s">
        <v>32</v>
      </c>
      <c r="H163" s="4" t="s">
        <v>47</v>
      </c>
      <c r="I163" s="4" t="s">
        <v>79</v>
      </c>
      <c r="J163" s="4" t="s">
        <v>81</v>
      </c>
      <c r="K163" s="4" t="s">
        <v>244</v>
      </c>
      <c r="L163" s="6" t="s">
        <v>48</v>
      </c>
      <c r="M163" s="4" t="s">
        <v>41</v>
      </c>
      <c r="N163" s="4" t="s">
        <v>192</v>
      </c>
      <c r="O163" s="4">
        <f>ROUND(P163*S163/100,0)</f>
        <v>7</v>
      </c>
      <c r="P163" s="4">
        <v>118</v>
      </c>
      <c r="S163" s="4">
        <v>5.9</v>
      </c>
    </row>
    <row r="164" spans="1:24" ht="42.45" hidden="1" x14ac:dyDescent="0.35">
      <c r="A164" s="4" t="s">
        <v>45</v>
      </c>
      <c r="C164" s="4">
        <v>1130</v>
      </c>
      <c r="D164" s="4">
        <v>3</v>
      </c>
      <c r="E164" s="12" t="s">
        <v>46</v>
      </c>
      <c r="F164" s="4">
        <v>2023</v>
      </c>
      <c r="G164" s="4" t="s">
        <v>32</v>
      </c>
      <c r="H164" s="4" t="s">
        <v>47</v>
      </c>
      <c r="I164" s="4" t="s">
        <v>228</v>
      </c>
      <c r="J164" s="4" t="s">
        <v>86</v>
      </c>
      <c r="K164" s="4" t="s">
        <v>244</v>
      </c>
      <c r="L164" s="6" t="s">
        <v>48</v>
      </c>
      <c r="M164" s="4" t="s">
        <v>41</v>
      </c>
      <c r="N164" s="4" t="s">
        <v>49</v>
      </c>
      <c r="O164" s="4">
        <f>P164*S164/100</f>
        <v>2.9920000000000004</v>
      </c>
      <c r="P164" s="4">
        <v>34</v>
      </c>
      <c r="S164" s="4">
        <v>8.8000000000000007</v>
      </c>
    </row>
    <row r="165" spans="1:24" ht="42.45" hidden="1" x14ac:dyDescent="0.35">
      <c r="A165" s="4" t="s">
        <v>45</v>
      </c>
      <c r="C165" s="4">
        <v>1130</v>
      </c>
      <c r="D165" s="4">
        <v>3</v>
      </c>
      <c r="E165" s="12" t="s">
        <v>46</v>
      </c>
      <c r="F165" s="4">
        <v>2023</v>
      </c>
      <c r="G165" s="4" t="s">
        <v>32</v>
      </c>
      <c r="H165" s="4" t="s">
        <v>47</v>
      </c>
      <c r="I165" s="4" t="s">
        <v>228</v>
      </c>
      <c r="J165" s="4" t="s">
        <v>86</v>
      </c>
      <c r="K165" s="4" t="s">
        <v>244</v>
      </c>
      <c r="L165" s="6" t="s">
        <v>48</v>
      </c>
      <c r="M165" s="4" t="s">
        <v>41</v>
      </c>
      <c r="N165" s="4" t="s">
        <v>192</v>
      </c>
      <c r="O165" s="4">
        <f>P165*S165/100</f>
        <v>2</v>
      </c>
      <c r="P165" s="4">
        <v>40</v>
      </c>
      <c r="S165" s="4">
        <v>5</v>
      </c>
      <c r="W165" s="4">
        <v>74</v>
      </c>
    </row>
    <row r="166" spans="1:24" ht="42.45" hidden="1" x14ac:dyDescent="0.35">
      <c r="A166" s="4" t="s">
        <v>45</v>
      </c>
      <c r="C166" s="4">
        <v>1030</v>
      </c>
      <c r="D166" s="4">
        <v>1</v>
      </c>
      <c r="E166" s="12" t="s">
        <v>22</v>
      </c>
      <c r="F166" s="4">
        <v>2022</v>
      </c>
      <c r="G166" s="4" t="s">
        <v>32</v>
      </c>
      <c r="H166" s="4" t="s">
        <v>55</v>
      </c>
      <c r="I166" s="4" t="s">
        <v>79</v>
      </c>
      <c r="J166" s="4" t="s">
        <v>80</v>
      </c>
      <c r="K166" s="4" t="s">
        <v>244</v>
      </c>
      <c r="L166" s="6" t="s">
        <v>48</v>
      </c>
      <c r="M166" s="4" t="s">
        <v>37</v>
      </c>
      <c r="N166" s="4" t="s">
        <v>51</v>
      </c>
      <c r="O166" s="4">
        <f>P166*T166/100</f>
        <v>35.972000000000001</v>
      </c>
      <c r="P166" s="4">
        <v>92</v>
      </c>
      <c r="T166" s="4">
        <v>39.1</v>
      </c>
    </row>
    <row r="167" spans="1:24" ht="42.45" hidden="1" x14ac:dyDescent="0.35">
      <c r="A167" s="4" t="s">
        <v>45</v>
      </c>
      <c r="C167" s="4">
        <v>1030</v>
      </c>
      <c r="D167" s="4">
        <v>1</v>
      </c>
      <c r="E167" s="12" t="s">
        <v>22</v>
      </c>
      <c r="F167" s="4">
        <v>2022</v>
      </c>
      <c r="G167" s="4" t="s">
        <v>32</v>
      </c>
      <c r="H167" s="4" t="s">
        <v>55</v>
      </c>
      <c r="I167" s="4" t="s">
        <v>79</v>
      </c>
      <c r="J167" s="4" t="s">
        <v>80</v>
      </c>
      <c r="K167" s="4" t="s">
        <v>244</v>
      </c>
      <c r="L167" s="6" t="s">
        <v>48</v>
      </c>
      <c r="M167" s="4" t="s">
        <v>37</v>
      </c>
      <c r="N167" s="4" t="s">
        <v>192</v>
      </c>
      <c r="O167" s="4">
        <f>P167*T167/100</f>
        <v>3.0240000000000005</v>
      </c>
      <c r="P167" s="4">
        <v>84</v>
      </c>
      <c r="S167" s="4">
        <v>176</v>
      </c>
      <c r="T167" s="4">
        <v>3.6</v>
      </c>
    </row>
    <row r="168" spans="1:24" hidden="1" x14ac:dyDescent="0.35">
      <c r="A168" s="4" t="s">
        <v>45</v>
      </c>
      <c r="C168" s="4">
        <v>1030</v>
      </c>
      <c r="D168" s="4">
        <v>1</v>
      </c>
      <c r="E168" s="12" t="s">
        <v>22</v>
      </c>
      <c r="F168" s="4">
        <v>2022</v>
      </c>
      <c r="G168" s="4" t="s">
        <v>32</v>
      </c>
      <c r="H168" s="4" t="s">
        <v>87</v>
      </c>
      <c r="I168" s="4" t="s">
        <v>88</v>
      </c>
      <c r="J168" s="4" t="s">
        <v>35</v>
      </c>
      <c r="K168" s="4" t="s">
        <v>244</v>
      </c>
      <c r="L168" s="4" t="s">
        <v>89</v>
      </c>
      <c r="M168" s="4" t="s">
        <v>37</v>
      </c>
      <c r="N168" s="4" t="s">
        <v>51</v>
      </c>
      <c r="O168" s="4">
        <v>72</v>
      </c>
      <c r="P168" s="4">
        <v>176</v>
      </c>
    </row>
    <row r="169" spans="1:24" hidden="1" x14ac:dyDescent="0.35">
      <c r="A169" s="4" t="s">
        <v>45</v>
      </c>
      <c r="C169" s="4">
        <v>1030</v>
      </c>
      <c r="D169" s="4">
        <v>1</v>
      </c>
      <c r="E169" s="12" t="s">
        <v>22</v>
      </c>
      <c r="F169" s="4">
        <v>2022</v>
      </c>
      <c r="G169" s="4" t="s">
        <v>32</v>
      </c>
      <c r="H169" s="4" t="s">
        <v>87</v>
      </c>
      <c r="I169" s="4" t="s">
        <v>88</v>
      </c>
      <c r="J169" s="4" t="s">
        <v>35</v>
      </c>
      <c r="K169" s="4" t="s">
        <v>244</v>
      </c>
      <c r="L169" s="4" t="s">
        <v>89</v>
      </c>
      <c r="M169" s="4" t="s">
        <v>37</v>
      </c>
      <c r="N169" s="4" t="s">
        <v>192</v>
      </c>
      <c r="O169" s="4">
        <v>77</v>
      </c>
      <c r="P169" s="4">
        <v>176</v>
      </c>
    </row>
    <row r="170" spans="1:24" hidden="1" x14ac:dyDescent="0.35">
      <c r="A170" s="4" t="s">
        <v>45</v>
      </c>
      <c r="C170" s="4">
        <v>1020</v>
      </c>
      <c r="D170" s="4">
        <v>2</v>
      </c>
      <c r="E170" s="12" t="s">
        <v>90</v>
      </c>
      <c r="F170" s="4">
        <v>2024</v>
      </c>
      <c r="G170" s="4" t="s">
        <v>32</v>
      </c>
      <c r="H170" s="4" t="s">
        <v>87</v>
      </c>
      <c r="I170" s="4" t="s">
        <v>88</v>
      </c>
      <c r="J170" s="4" t="s">
        <v>35</v>
      </c>
      <c r="K170" s="4" t="s">
        <v>244</v>
      </c>
      <c r="L170" s="4" t="s">
        <v>91</v>
      </c>
      <c r="M170" s="4" t="s">
        <v>37</v>
      </c>
      <c r="N170" s="4" t="s">
        <v>53</v>
      </c>
      <c r="O170" s="4">
        <v>222</v>
      </c>
      <c r="P170" s="4">
        <v>229</v>
      </c>
    </row>
    <row r="171" spans="1:24" hidden="1" x14ac:dyDescent="0.35">
      <c r="A171" s="4" t="s">
        <v>45</v>
      </c>
      <c r="C171" s="4">
        <v>1020</v>
      </c>
      <c r="D171" s="4">
        <v>2</v>
      </c>
      <c r="E171" s="12" t="s">
        <v>90</v>
      </c>
      <c r="F171" s="4">
        <v>2024</v>
      </c>
      <c r="G171" s="4" t="s">
        <v>32</v>
      </c>
      <c r="H171" s="4" t="s">
        <v>87</v>
      </c>
      <c r="I171" s="4" t="s">
        <v>88</v>
      </c>
      <c r="J171" s="4" t="s">
        <v>35</v>
      </c>
      <c r="K171" s="4" t="s">
        <v>244</v>
      </c>
      <c r="L171" s="4" t="s">
        <v>91</v>
      </c>
      <c r="M171" s="4" t="s">
        <v>37</v>
      </c>
      <c r="N171" s="4" t="s">
        <v>192</v>
      </c>
      <c r="O171" s="4">
        <v>225</v>
      </c>
      <c r="P171" s="4">
        <v>230</v>
      </c>
    </row>
    <row r="172" spans="1:24" hidden="1" x14ac:dyDescent="0.35">
      <c r="A172" s="4" t="s">
        <v>45</v>
      </c>
      <c r="C172" s="4">
        <v>1020</v>
      </c>
      <c r="D172" s="4">
        <v>2</v>
      </c>
      <c r="E172" s="12" t="s">
        <v>90</v>
      </c>
      <c r="F172" s="4">
        <v>2024</v>
      </c>
      <c r="G172" s="4" t="s">
        <v>32</v>
      </c>
      <c r="H172" s="4" t="s">
        <v>87</v>
      </c>
      <c r="I172" s="4" t="s">
        <v>88</v>
      </c>
      <c r="J172" s="4" t="s">
        <v>35</v>
      </c>
      <c r="K172" s="4" t="s">
        <v>244</v>
      </c>
      <c r="L172" s="4" t="s">
        <v>91</v>
      </c>
      <c r="M172" s="4" t="s">
        <v>92</v>
      </c>
      <c r="N172" s="4" t="s">
        <v>53</v>
      </c>
      <c r="O172" s="4">
        <v>216</v>
      </c>
      <c r="P172" s="4">
        <v>229</v>
      </c>
    </row>
    <row r="173" spans="1:24" hidden="1" x14ac:dyDescent="0.35">
      <c r="A173" s="4" t="s">
        <v>45</v>
      </c>
      <c r="C173" s="4">
        <v>1020</v>
      </c>
      <c r="D173" s="4">
        <v>2</v>
      </c>
      <c r="E173" s="12" t="s">
        <v>90</v>
      </c>
      <c r="F173" s="4">
        <v>2024</v>
      </c>
      <c r="G173" s="4" t="s">
        <v>32</v>
      </c>
      <c r="H173" s="4" t="s">
        <v>87</v>
      </c>
      <c r="I173" s="4" t="s">
        <v>88</v>
      </c>
      <c r="J173" s="4" t="s">
        <v>35</v>
      </c>
      <c r="K173" s="4" t="s">
        <v>244</v>
      </c>
      <c r="L173" s="4" t="s">
        <v>91</v>
      </c>
      <c r="M173" s="4" t="s">
        <v>92</v>
      </c>
      <c r="N173" s="4" t="s">
        <v>192</v>
      </c>
      <c r="O173" s="4">
        <v>221</v>
      </c>
      <c r="P173" s="4">
        <v>230</v>
      </c>
    </row>
    <row r="174" spans="1:24" hidden="1" x14ac:dyDescent="0.35">
      <c r="A174" s="4" t="s">
        <v>45</v>
      </c>
      <c r="C174" s="4">
        <v>1020</v>
      </c>
      <c r="D174" s="4">
        <v>2</v>
      </c>
      <c r="E174" s="12" t="s">
        <v>90</v>
      </c>
      <c r="F174" s="4">
        <v>2024</v>
      </c>
      <c r="G174" s="4" t="s">
        <v>32</v>
      </c>
      <c r="H174" s="4" t="s">
        <v>87</v>
      </c>
      <c r="I174" s="4" t="s">
        <v>88</v>
      </c>
      <c r="J174" s="4" t="s">
        <v>35</v>
      </c>
      <c r="K174" s="4" t="s">
        <v>244</v>
      </c>
      <c r="L174" s="4" t="s">
        <v>91</v>
      </c>
      <c r="M174" s="4" t="s">
        <v>93</v>
      </c>
      <c r="N174" s="4" t="s">
        <v>53</v>
      </c>
      <c r="O174" s="4">
        <v>124</v>
      </c>
      <c r="P174" s="4">
        <v>229</v>
      </c>
    </row>
    <row r="175" spans="1:24" hidden="1" x14ac:dyDescent="0.35">
      <c r="A175" s="4" t="s">
        <v>45</v>
      </c>
      <c r="C175" s="4">
        <v>1020</v>
      </c>
      <c r="D175" s="4">
        <v>2</v>
      </c>
      <c r="E175" s="12" t="s">
        <v>90</v>
      </c>
      <c r="F175" s="4">
        <v>2024</v>
      </c>
      <c r="G175" s="4" t="s">
        <v>32</v>
      </c>
      <c r="H175" s="4" t="s">
        <v>87</v>
      </c>
      <c r="I175" s="4" t="s">
        <v>88</v>
      </c>
      <c r="J175" s="4" t="s">
        <v>35</v>
      </c>
      <c r="K175" s="4" t="s">
        <v>244</v>
      </c>
      <c r="L175" s="4" t="s">
        <v>91</v>
      </c>
      <c r="M175" s="4" t="s">
        <v>93</v>
      </c>
      <c r="N175" s="4" t="s">
        <v>192</v>
      </c>
      <c r="O175" s="4">
        <v>121</v>
      </c>
      <c r="P175" s="4">
        <v>230</v>
      </c>
    </row>
    <row r="176" spans="1:24" hidden="1" x14ac:dyDescent="0.35">
      <c r="A176" s="4" t="s">
        <v>45</v>
      </c>
      <c r="C176" s="4">
        <v>1020</v>
      </c>
      <c r="D176" s="4">
        <v>2</v>
      </c>
      <c r="E176" s="12" t="s">
        <v>90</v>
      </c>
      <c r="F176" s="4">
        <v>2024</v>
      </c>
      <c r="G176" s="4" t="s">
        <v>32</v>
      </c>
      <c r="H176" s="4" t="s">
        <v>87</v>
      </c>
      <c r="I176" s="4" t="s">
        <v>88</v>
      </c>
      <c r="J176" s="4" t="s">
        <v>35</v>
      </c>
      <c r="K176" s="4" t="s">
        <v>244</v>
      </c>
      <c r="L176" s="4" t="s">
        <v>89</v>
      </c>
      <c r="M176" s="4" t="s">
        <v>37</v>
      </c>
      <c r="N176" s="4" t="s">
        <v>53</v>
      </c>
      <c r="O176" s="4">
        <v>108</v>
      </c>
      <c r="P176" s="4">
        <v>229</v>
      </c>
    </row>
    <row r="177" spans="1:19" hidden="1" x14ac:dyDescent="0.35">
      <c r="A177" s="4" t="s">
        <v>45</v>
      </c>
      <c r="C177" s="4">
        <v>1020</v>
      </c>
      <c r="D177" s="4">
        <v>2</v>
      </c>
      <c r="E177" s="12" t="s">
        <v>90</v>
      </c>
      <c r="F177" s="4">
        <v>2024</v>
      </c>
      <c r="G177" s="4" t="s">
        <v>32</v>
      </c>
      <c r="H177" s="4" t="s">
        <v>87</v>
      </c>
      <c r="I177" s="4" t="s">
        <v>88</v>
      </c>
      <c r="J177" s="4" t="s">
        <v>35</v>
      </c>
      <c r="K177" s="4" t="s">
        <v>244</v>
      </c>
      <c r="L177" s="4" t="s">
        <v>89</v>
      </c>
      <c r="M177" s="4" t="s">
        <v>37</v>
      </c>
      <c r="N177" s="4" t="s">
        <v>192</v>
      </c>
      <c r="O177" s="4">
        <v>99</v>
      </c>
      <c r="P177" s="4">
        <v>230</v>
      </c>
    </row>
    <row r="178" spans="1:19" hidden="1" x14ac:dyDescent="0.35">
      <c r="A178" s="4" t="s">
        <v>45</v>
      </c>
      <c r="C178" s="4">
        <v>1020</v>
      </c>
      <c r="D178" s="4">
        <v>2</v>
      </c>
      <c r="E178" s="12" t="s">
        <v>90</v>
      </c>
      <c r="F178" s="4">
        <v>2024</v>
      </c>
      <c r="G178" s="4" t="s">
        <v>32</v>
      </c>
      <c r="H178" s="4" t="s">
        <v>87</v>
      </c>
      <c r="I178" s="4" t="s">
        <v>88</v>
      </c>
      <c r="J178" s="4" t="s">
        <v>35</v>
      </c>
      <c r="K178" s="4" t="s">
        <v>244</v>
      </c>
      <c r="L178" s="4" t="s">
        <v>89</v>
      </c>
      <c r="M178" s="4" t="s">
        <v>92</v>
      </c>
      <c r="N178" s="4" t="s">
        <v>53</v>
      </c>
      <c r="O178" s="4">
        <v>78</v>
      </c>
      <c r="P178" s="4">
        <v>229</v>
      </c>
    </row>
    <row r="179" spans="1:19" hidden="1" x14ac:dyDescent="0.35">
      <c r="A179" s="4" t="s">
        <v>45</v>
      </c>
      <c r="C179" s="4">
        <v>1020</v>
      </c>
      <c r="D179" s="4">
        <v>2</v>
      </c>
      <c r="E179" s="12" t="s">
        <v>90</v>
      </c>
      <c r="F179" s="4">
        <v>2024</v>
      </c>
      <c r="G179" s="4" t="s">
        <v>32</v>
      </c>
      <c r="H179" s="4" t="s">
        <v>87</v>
      </c>
      <c r="I179" s="4" t="s">
        <v>88</v>
      </c>
      <c r="J179" s="4" t="s">
        <v>35</v>
      </c>
      <c r="K179" s="4" t="s">
        <v>244</v>
      </c>
      <c r="L179" s="4" t="s">
        <v>89</v>
      </c>
      <c r="M179" s="4" t="s">
        <v>92</v>
      </c>
      <c r="N179" s="4" t="s">
        <v>192</v>
      </c>
      <c r="O179" s="4">
        <v>63</v>
      </c>
      <c r="P179" s="4">
        <v>230</v>
      </c>
    </row>
    <row r="180" spans="1:19" hidden="1" x14ac:dyDescent="0.35">
      <c r="A180" s="4" t="s">
        <v>45</v>
      </c>
      <c r="C180" s="4">
        <v>1020</v>
      </c>
      <c r="D180" s="4">
        <v>2</v>
      </c>
      <c r="E180" s="12" t="s">
        <v>90</v>
      </c>
      <c r="F180" s="4">
        <v>2024</v>
      </c>
      <c r="G180" s="4" t="s">
        <v>32</v>
      </c>
      <c r="H180" s="4" t="s">
        <v>87</v>
      </c>
      <c r="I180" s="4" t="s">
        <v>88</v>
      </c>
      <c r="J180" s="4" t="s">
        <v>35</v>
      </c>
      <c r="K180" s="4" t="s">
        <v>244</v>
      </c>
      <c r="L180" s="4" t="s">
        <v>89</v>
      </c>
      <c r="M180" s="4" t="s">
        <v>93</v>
      </c>
      <c r="N180" s="4" t="s">
        <v>53</v>
      </c>
      <c r="O180" s="4">
        <v>28</v>
      </c>
      <c r="P180" s="4">
        <v>229</v>
      </c>
    </row>
    <row r="181" spans="1:19" hidden="1" x14ac:dyDescent="0.35">
      <c r="A181" s="4" t="s">
        <v>45</v>
      </c>
      <c r="C181" s="4">
        <v>1020</v>
      </c>
      <c r="D181" s="4">
        <v>2</v>
      </c>
      <c r="E181" s="12" t="s">
        <v>90</v>
      </c>
      <c r="F181" s="4">
        <v>2024</v>
      </c>
      <c r="G181" s="4" t="s">
        <v>32</v>
      </c>
      <c r="H181" s="4" t="s">
        <v>87</v>
      </c>
      <c r="I181" s="4" t="s">
        <v>88</v>
      </c>
      <c r="J181" s="4" t="s">
        <v>35</v>
      </c>
      <c r="K181" s="4" t="s">
        <v>244</v>
      </c>
      <c r="L181" s="4" t="s">
        <v>89</v>
      </c>
      <c r="M181" s="4" t="s">
        <v>93</v>
      </c>
      <c r="N181" s="4" t="s">
        <v>192</v>
      </c>
      <c r="O181" s="4">
        <v>23</v>
      </c>
      <c r="P181" s="4">
        <v>230</v>
      </c>
    </row>
    <row r="182" spans="1:19" hidden="1" x14ac:dyDescent="0.35">
      <c r="A182" s="4" t="s">
        <v>45</v>
      </c>
      <c r="C182" s="4">
        <v>1130</v>
      </c>
      <c r="D182" s="4">
        <v>3</v>
      </c>
      <c r="E182" s="12" t="s">
        <v>94</v>
      </c>
      <c r="F182" s="4">
        <v>2023</v>
      </c>
      <c r="G182" s="4" t="s">
        <v>32</v>
      </c>
      <c r="H182" s="4" t="s">
        <v>87</v>
      </c>
      <c r="I182" s="4" t="s">
        <v>35</v>
      </c>
      <c r="J182" s="4" t="s">
        <v>35</v>
      </c>
      <c r="K182" s="4" t="s">
        <v>244</v>
      </c>
      <c r="L182" s="4" t="s">
        <v>91</v>
      </c>
      <c r="M182" s="4" t="s">
        <v>41</v>
      </c>
      <c r="N182" s="4" t="s">
        <v>95</v>
      </c>
      <c r="O182" s="4">
        <v>387</v>
      </c>
      <c r="P182" s="4">
        <v>401</v>
      </c>
    </row>
    <row r="183" spans="1:19" hidden="1" x14ac:dyDescent="0.35">
      <c r="A183" s="4" t="s">
        <v>45</v>
      </c>
      <c r="C183" s="4">
        <v>1130</v>
      </c>
      <c r="D183" s="4">
        <v>3</v>
      </c>
      <c r="E183" s="12" t="s">
        <v>94</v>
      </c>
      <c r="F183" s="4">
        <v>2023</v>
      </c>
      <c r="G183" s="4" t="s">
        <v>32</v>
      </c>
      <c r="H183" s="4" t="s">
        <v>87</v>
      </c>
      <c r="I183" s="4" t="s">
        <v>35</v>
      </c>
      <c r="J183" s="4" t="s">
        <v>35</v>
      </c>
      <c r="K183" s="4" t="s">
        <v>244</v>
      </c>
      <c r="L183" s="4" t="s">
        <v>91</v>
      </c>
      <c r="M183" s="4" t="s">
        <v>41</v>
      </c>
      <c r="N183" s="4" t="s">
        <v>192</v>
      </c>
      <c r="O183" s="4">
        <v>377</v>
      </c>
      <c r="P183" s="4">
        <v>398</v>
      </c>
    </row>
    <row r="184" spans="1:19" hidden="1" x14ac:dyDescent="0.35">
      <c r="A184" s="4" t="s">
        <v>45</v>
      </c>
      <c r="C184" s="4">
        <v>1130</v>
      </c>
      <c r="D184" s="4">
        <v>3</v>
      </c>
      <c r="E184" s="12" t="s">
        <v>94</v>
      </c>
      <c r="F184" s="4">
        <v>2023</v>
      </c>
      <c r="G184" s="4" t="s">
        <v>32</v>
      </c>
      <c r="H184" s="4" t="s">
        <v>87</v>
      </c>
      <c r="I184" s="4" t="s">
        <v>35</v>
      </c>
      <c r="J184" s="4" t="s">
        <v>35</v>
      </c>
      <c r="K184" s="4" t="s">
        <v>244</v>
      </c>
      <c r="L184" s="4" t="s">
        <v>89</v>
      </c>
      <c r="M184" s="4" t="s">
        <v>41</v>
      </c>
      <c r="N184" s="4" t="s">
        <v>95</v>
      </c>
      <c r="O184" s="4">
        <v>170</v>
      </c>
      <c r="P184" s="4">
        <v>401</v>
      </c>
    </row>
    <row r="185" spans="1:19" hidden="1" x14ac:dyDescent="0.35">
      <c r="A185" s="4" t="s">
        <v>45</v>
      </c>
      <c r="C185" s="4">
        <v>1130</v>
      </c>
      <c r="D185" s="4">
        <v>3</v>
      </c>
      <c r="E185" s="12" t="s">
        <v>94</v>
      </c>
      <c r="F185" s="4">
        <v>2023</v>
      </c>
      <c r="G185" s="4" t="s">
        <v>32</v>
      </c>
      <c r="H185" s="4" t="s">
        <v>87</v>
      </c>
      <c r="I185" s="4" t="s">
        <v>35</v>
      </c>
      <c r="J185" s="4" t="s">
        <v>35</v>
      </c>
      <c r="K185" s="4" t="s">
        <v>244</v>
      </c>
      <c r="L185" s="4" t="s">
        <v>96</v>
      </c>
      <c r="M185" s="4" t="s">
        <v>41</v>
      </c>
      <c r="N185" s="4" t="s">
        <v>192</v>
      </c>
      <c r="O185" s="4">
        <v>172</v>
      </c>
      <c r="P185" s="4">
        <v>398</v>
      </c>
    </row>
    <row r="186" spans="1:19" hidden="1" x14ac:dyDescent="0.35">
      <c r="A186" s="4" t="s">
        <v>45</v>
      </c>
      <c r="C186" s="4">
        <v>1100</v>
      </c>
      <c r="D186" s="4">
        <v>4</v>
      </c>
      <c r="E186" s="12" t="s">
        <v>24</v>
      </c>
      <c r="F186" s="4">
        <v>2024</v>
      </c>
      <c r="G186" s="4" t="s">
        <v>32</v>
      </c>
      <c r="H186" s="4" t="s">
        <v>87</v>
      </c>
      <c r="I186" s="4" t="s">
        <v>35</v>
      </c>
      <c r="J186" s="4" t="s">
        <v>35</v>
      </c>
      <c r="K186" s="4" t="s">
        <v>244</v>
      </c>
      <c r="L186" s="4" t="s">
        <v>91</v>
      </c>
      <c r="M186" s="4" t="s">
        <v>37</v>
      </c>
      <c r="N186" s="4" t="s">
        <v>60</v>
      </c>
      <c r="O186" s="4">
        <v>383</v>
      </c>
      <c r="P186" s="4">
        <v>396</v>
      </c>
    </row>
    <row r="187" spans="1:19" hidden="1" x14ac:dyDescent="0.35">
      <c r="A187" s="4" t="s">
        <v>45</v>
      </c>
      <c r="C187" s="4">
        <v>1100</v>
      </c>
      <c r="D187" s="4">
        <v>4</v>
      </c>
      <c r="E187" s="12" t="s">
        <v>24</v>
      </c>
      <c r="F187" s="4">
        <v>2024</v>
      </c>
      <c r="G187" s="4" t="s">
        <v>32</v>
      </c>
      <c r="H187" s="4" t="s">
        <v>87</v>
      </c>
      <c r="I187" s="4" t="s">
        <v>35</v>
      </c>
      <c r="J187" s="4" t="s">
        <v>35</v>
      </c>
      <c r="K187" s="4" t="s">
        <v>244</v>
      </c>
      <c r="L187" s="4" t="s">
        <v>91</v>
      </c>
      <c r="M187" s="4" t="s">
        <v>37</v>
      </c>
      <c r="N187" s="4" t="s">
        <v>192</v>
      </c>
      <c r="O187" s="4">
        <v>381</v>
      </c>
      <c r="P187" s="4">
        <v>399</v>
      </c>
    </row>
    <row r="188" spans="1:19" hidden="1" x14ac:dyDescent="0.35">
      <c r="A188" s="4" t="s">
        <v>45</v>
      </c>
      <c r="C188" s="4">
        <v>1120</v>
      </c>
      <c r="D188" s="4">
        <v>5</v>
      </c>
      <c r="E188" s="12" t="s">
        <v>31</v>
      </c>
      <c r="F188" s="4">
        <v>2024</v>
      </c>
      <c r="G188" s="4" t="s">
        <v>32</v>
      </c>
      <c r="H188" s="4" t="s">
        <v>87</v>
      </c>
      <c r="I188" s="4" t="s">
        <v>35</v>
      </c>
      <c r="J188" s="4" t="s">
        <v>35</v>
      </c>
      <c r="K188" s="4" t="s">
        <v>244</v>
      </c>
      <c r="L188" s="4" t="s">
        <v>91</v>
      </c>
      <c r="M188" s="4" t="s">
        <v>37</v>
      </c>
      <c r="N188" s="4" t="s">
        <v>38</v>
      </c>
      <c r="O188" s="4">
        <v>201</v>
      </c>
      <c r="P188" s="4">
        <v>202</v>
      </c>
      <c r="S188" s="4" t="s">
        <v>97</v>
      </c>
    </row>
    <row r="189" spans="1:19" hidden="1" x14ac:dyDescent="0.35">
      <c r="A189" s="4" t="s">
        <v>45</v>
      </c>
      <c r="C189" s="4">
        <v>1120</v>
      </c>
      <c r="D189" s="4">
        <v>5</v>
      </c>
      <c r="E189" s="12" t="s">
        <v>31</v>
      </c>
      <c r="F189" s="4">
        <v>2024</v>
      </c>
      <c r="G189" s="4" t="s">
        <v>32</v>
      </c>
      <c r="H189" s="4" t="s">
        <v>87</v>
      </c>
      <c r="I189" s="4" t="s">
        <v>35</v>
      </c>
      <c r="J189" s="4" t="s">
        <v>35</v>
      </c>
      <c r="K189" s="4" t="s">
        <v>244</v>
      </c>
      <c r="L189" s="4" t="s">
        <v>91</v>
      </c>
      <c r="M189" s="4" t="s">
        <v>37</v>
      </c>
      <c r="N189" s="4" t="s">
        <v>192</v>
      </c>
      <c r="O189" s="4">
        <v>199</v>
      </c>
      <c r="P189" s="4">
        <v>202</v>
      </c>
      <c r="S189" s="4" t="s">
        <v>97</v>
      </c>
    </row>
    <row r="190" spans="1:19" hidden="1" x14ac:dyDescent="0.35">
      <c r="A190" s="4" t="s">
        <v>45</v>
      </c>
      <c r="C190" s="4">
        <v>1120</v>
      </c>
      <c r="D190" s="4">
        <v>5</v>
      </c>
      <c r="E190" s="12" t="s">
        <v>31</v>
      </c>
      <c r="F190" s="4">
        <v>2024</v>
      </c>
      <c r="G190" s="4" t="s">
        <v>32</v>
      </c>
      <c r="H190" s="4" t="s">
        <v>87</v>
      </c>
      <c r="I190" s="4" t="s">
        <v>35</v>
      </c>
      <c r="J190" s="4" t="s">
        <v>35</v>
      </c>
      <c r="K190" s="4" t="s">
        <v>244</v>
      </c>
      <c r="L190" s="4" t="s">
        <v>89</v>
      </c>
      <c r="M190" s="4" t="s">
        <v>37</v>
      </c>
      <c r="N190" s="4" t="s">
        <v>38</v>
      </c>
      <c r="O190" s="4">
        <v>128</v>
      </c>
      <c r="P190" s="4">
        <v>202</v>
      </c>
    </row>
    <row r="191" spans="1:19" hidden="1" x14ac:dyDescent="0.35">
      <c r="A191" s="4" t="s">
        <v>45</v>
      </c>
      <c r="C191" s="4">
        <v>1120</v>
      </c>
      <c r="D191" s="4">
        <v>5</v>
      </c>
      <c r="E191" s="12" t="s">
        <v>31</v>
      </c>
      <c r="F191" s="4">
        <v>2024</v>
      </c>
      <c r="G191" s="4" t="s">
        <v>32</v>
      </c>
      <c r="H191" s="4" t="s">
        <v>87</v>
      </c>
      <c r="I191" s="4" t="s">
        <v>35</v>
      </c>
      <c r="J191" s="4" t="s">
        <v>35</v>
      </c>
      <c r="K191" s="4" t="s">
        <v>244</v>
      </c>
      <c r="L191" s="4" t="s">
        <v>89</v>
      </c>
      <c r="M191" s="4" t="s">
        <v>37</v>
      </c>
      <c r="N191" s="4" t="s">
        <v>192</v>
      </c>
      <c r="O191" s="4">
        <v>109</v>
      </c>
      <c r="P191" s="4">
        <v>202</v>
      </c>
    </row>
    <row r="192" spans="1:19" hidden="1" x14ac:dyDescent="0.35">
      <c r="A192" s="4" t="s">
        <v>45</v>
      </c>
      <c r="C192" s="4">
        <v>1010</v>
      </c>
      <c r="D192" s="4">
        <v>6</v>
      </c>
      <c r="E192" s="12" t="s">
        <v>40</v>
      </c>
      <c r="F192" s="4">
        <v>2024</v>
      </c>
      <c r="G192" s="4" t="s">
        <v>32</v>
      </c>
      <c r="H192" s="4" t="s">
        <v>87</v>
      </c>
      <c r="I192" s="4" t="s">
        <v>35</v>
      </c>
      <c r="J192" s="4" t="s">
        <v>35</v>
      </c>
      <c r="K192" s="4" t="s">
        <v>244</v>
      </c>
      <c r="L192" s="4" t="s">
        <v>98</v>
      </c>
      <c r="M192" s="4" t="s">
        <v>37</v>
      </c>
      <c r="N192" s="4" t="s">
        <v>42</v>
      </c>
      <c r="O192" s="4">
        <v>224</v>
      </c>
      <c r="P192" s="4">
        <v>226</v>
      </c>
    </row>
    <row r="193" spans="1:28" hidden="1" x14ac:dyDescent="0.35">
      <c r="A193" s="4" t="s">
        <v>45</v>
      </c>
      <c r="C193" s="4">
        <v>1010</v>
      </c>
      <c r="D193" s="4">
        <v>6</v>
      </c>
      <c r="E193" s="12" t="s">
        <v>40</v>
      </c>
      <c r="F193" s="4">
        <v>2024</v>
      </c>
      <c r="G193" s="4" t="s">
        <v>32</v>
      </c>
      <c r="H193" s="4" t="s">
        <v>87</v>
      </c>
      <c r="I193" s="4" t="s">
        <v>35</v>
      </c>
      <c r="J193" s="4" t="s">
        <v>35</v>
      </c>
      <c r="K193" s="4" t="s">
        <v>244</v>
      </c>
      <c r="L193" s="4" t="s">
        <v>98</v>
      </c>
      <c r="M193" s="4" t="s">
        <v>37</v>
      </c>
      <c r="N193" s="4" t="s">
        <v>192</v>
      </c>
      <c r="O193" s="4">
        <v>225</v>
      </c>
      <c r="P193" s="4">
        <v>226</v>
      </c>
    </row>
    <row r="194" spans="1:28" hidden="1" x14ac:dyDescent="0.35">
      <c r="A194" s="4" t="s">
        <v>45</v>
      </c>
      <c r="C194" s="4">
        <v>1010</v>
      </c>
      <c r="D194" s="4">
        <v>6</v>
      </c>
      <c r="E194" s="12" t="s">
        <v>40</v>
      </c>
      <c r="F194" s="4">
        <v>2024</v>
      </c>
      <c r="G194" s="4" t="s">
        <v>32</v>
      </c>
      <c r="H194" s="4" t="s">
        <v>87</v>
      </c>
      <c r="I194" s="4" t="s">
        <v>35</v>
      </c>
      <c r="J194" s="4" t="s">
        <v>35</v>
      </c>
      <c r="K194" s="4" t="s">
        <v>244</v>
      </c>
      <c r="L194" s="4" t="s">
        <v>39</v>
      </c>
      <c r="M194" s="4" t="s">
        <v>37</v>
      </c>
      <c r="N194" s="4" t="s">
        <v>42</v>
      </c>
      <c r="O194" s="4">
        <v>163</v>
      </c>
      <c r="P194" s="4">
        <v>226</v>
      </c>
    </row>
    <row r="195" spans="1:28" hidden="1" x14ac:dyDescent="0.35">
      <c r="A195" s="4" t="s">
        <v>45</v>
      </c>
      <c r="C195" s="4">
        <v>1010</v>
      </c>
      <c r="D195" s="4">
        <v>6</v>
      </c>
      <c r="E195" s="12" t="s">
        <v>40</v>
      </c>
      <c r="F195" s="4">
        <v>2024</v>
      </c>
      <c r="G195" s="4" t="s">
        <v>32</v>
      </c>
      <c r="H195" s="4" t="s">
        <v>87</v>
      </c>
      <c r="I195" s="4" t="s">
        <v>35</v>
      </c>
      <c r="J195" s="4" t="s">
        <v>35</v>
      </c>
      <c r="K195" s="4" t="s">
        <v>244</v>
      </c>
      <c r="L195" s="4" t="s">
        <v>39</v>
      </c>
      <c r="M195" s="4" t="s">
        <v>37</v>
      </c>
      <c r="N195" s="4" t="s">
        <v>192</v>
      </c>
      <c r="O195" s="4">
        <v>150</v>
      </c>
      <c r="P195" s="4">
        <v>226</v>
      </c>
    </row>
    <row r="196" spans="1:28" ht="42.45" hidden="1" x14ac:dyDescent="0.35">
      <c r="A196" s="4" t="s">
        <v>45</v>
      </c>
      <c r="C196" s="4">
        <v>1020</v>
      </c>
      <c r="D196" s="4">
        <v>2</v>
      </c>
      <c r="E196" s="12" t="s">
        <v>52</v>
      </c>
      <c r="F196" s="4">
        <v>2024</v>
      </c>
      <c r="G196" s="4" t="s">
        <v>32</v>
      </c>
      <c r="H196" s="4" t="s">
        <v>47</v>
      </c>
      <c r="I196" s="4" t="s">
        <v>73</v>
      </c>
      <c r="J196" s="4" t="s">
        <v>99</v>
      </c>
      <c r="K196" s="4" t="s">
        <v>244</v>
      </c>
      <c r="L196" s="6" t="s">
        <v>48</v>
      </c>
      <c r="M196" s="4" t="s">
        <v>41</v>
      </c>
      <c r="N196" s="4" t="s">
        <v>53</v>
      </c>
      <c r="O196" s="4">
        <f t="shared" ref="O196:O201" si="12">P196*S196/100</f>
        <v>54.907999999999994</v>
      </c>
      <c r="P196" s="4">
        <v>212</v>
      </c>
      <c r="S196" s="4">
        <v>25.9</v>
      </c>
    </row>
    <row r="197" spans="1:28" ht="42.45" hidden="1" x14ac:dyDescent="0.35">
      <c r="A197" s="4" t="s">
        <v>45</v>
      </c>
      <c r="C197" s="4">
        <v>1020</v>
      </c>
      <c r="D197" s="4">
        <v>2</v>
      </c>
      <c r="E197" s="12" t="s">
        <v>52</v>
      </c>
      <c r="F197" s="4">
        <v>2024</v>
      </c>
      <c r="G197" s="4" t="s">
        <v>32</v>
      </c>
      <c r="H197" s="4" t="s">
        <v>47</v>
      </c>
      <c r="I197" s="4" t="s">
        <v>73</v>
      </c>
      <c r="J197" s="4" t="s">
        <v>99</v>
      </c>
      <c r="K197" s="4" t="s">
        <v>244</v>
      </c>
      <c r="L197" s="6" t="s">
        <v>48</v>
      </c>
      <c r="M197" s="4" t="s">
        <v>41</v>
      </c>
      <c r="N197" s="4" t="s">
        <v>192</v>
      </c>
      <c r="O197" s="4">
        <f t="shared" si="12"/>
        <v>10.045000000000002</v>
      </c>
      <c r="P197" s="4">
        <v>205</v>
      </c>
      <c r="S197" s="4">
        <v>4.9000000000000004</v>
      </c>
    </row>
    <row r="198" spans="1:28" ht="42.45" hidden="1" x14ac:dyDescent="0.35">
      <c r="A198" s="4" t="s">
        <v>45</v>
      </c>
      <c r="C198" s="4">
        <v>1030</v>
      </c>
      <c r="D198" s="4">
        <v>1</v>
      </c>
      <c r="E198" s="12" t="s">
        <v>22</v>
      </c>
      <c r="F198" s="4">
        <v>2022</v>
      </c>
      <c r="G198" s="4" t="s">
        <v>32</v>
      </c>
      <c r="H198" s="4" t="s">
        <v>47</v>
      </c>
      <c r="I198" s="4" t="s">
        <v>73</v>
      </c>
      <c r="J198" s="4" t="s">
        <v>99</v>
      </c>
      <c r="K198" s="4" t="s">
        <v>244</v>
      </c>
      <c r="L198" s="6" t="s">
        <v>48</v>
      </c>
      <c r="M198" s="4" t="s">
        <v>37</v>
      </c>
      <c r="N198" s="4" t="s">
        <v>192</v>
      </c>
      <c r="O198" s="4">
        <f t="shared" si="12"/>
        <v>3.95</v>
      </c>
      <c r="P198" s="4">
        <v>158</v>
      </c>
      <c r="S198" s="4">
        <v>2.5</v>
      </c>
    </row>
    <row r="199" spans="1:28" ht="42.45" hidden="1" x14ac:dyDescent="0.35">
      <c r="A199" s="4" t="s">
        <v>45</v>
      </c>
      <c r="C199" s="4">
        <v>1030</v>
      </c>
      <c r="D199" s="4">
        <v>1</v>
      </c>
      <c r="E199" s="12" t="s">
        <v>22</v>
      </c>
      <c r="F199" s="4">
        <v>2022</v>
      </c>
      <c r="G199" s="4" t="s">
        <v>32</v>
      </c>
      <c r="H199" s="4" t="s">
        <v>47</v>
      </c>
      <c r="I199" s="4" t="s">
        <v>73</v>
      </c>
      <c r="J199" s="4" t="s">
        <v>99</v>
      </c>
      <c r="K199" s="4" t="s">
        <v>244</v>
      </c>
      <c r="L199" s="6" t="s">
        <v>48</v>
      </c>
      <c r="M199" s="4" t="s">
        <v>37</v>
      </c>
      <c r="N199" s="4" t="s">
        <v>51</v>
      </c>
      <c r="O199" s="4">
        <f t="shared" si="12"/>
        <v>40.96</v>
      </c>
      <c r="P199" s="4">
        <v>160</v>
      </c>
      <c r="S199" s="4">
        <v>25.6</v>
      </c>
      <c r="X199" s="4">
        <v>318</v>
      </c>
    </row>
    <row r="200" spans="1:28" ht="42.45" hidden="1" x14ac:dyDescent="0.35">
      <c r="A200" s="4" t="s">
        <v>45</v>
      </c>
      <c r="C200" s="4">
        <v>1130</v>
      </c>
      <c r="D200" s="4">
        <v>3</v>
      </c>
      <c r="E200" s="12" t="s">
        <v>46</v>
      </c>
      <c r="F200" s="4">
        <v>2023</v>
      </c>
      <c r="G200" s="4" t="s">
        <v>32</v>
      </c>
      <c r="H200" s="4" t="s">
        <v>47</v>
      </c>
      <c r="I200" s="4" t="s">
        <v>228</v>
      </c>
      <c r="J200" s="4" t="s">
        <v>100</v>
      </c>
      <c r="K200" s="4" t="s">
        <v>244</v>
      </c>
      <c r="L200" s="6" t="s">
        <v>48</v>
      </c>
      <c r="M200" s="4" t="s">
        <v>41</v>
      </c>
      <c r="N200" s="4" t="s">
        <v>49</v>
      </c>
      <c r="O200" s="4">
        <f t="shared" si="12"/>
        <v>25.943999999999996</v>
      </c>
      <c r="P200" s="4">
        <v>141</v>
      </c>
      <c r="S200" s="4">
        <v>18.399999999999999</v>
      </c>
    </row>
    <row r="201" spans="1:28" ht="42.45" hidden="1" x14ac:dyDescent="0.35">
      <c r="A201" s="4" t="s">
        <v>45</v>
      </c>
      <c r="C201" s="4">
        <v>1130</v>
      </c>
      <c r="D201" s="4">
        <v>3</v>
      </c>
      <c r="E201" s="12" t="s">
        <v>46</v>
      </c>
      <c r="F201" s="4">
        <v>2023</v>
      </c>
      <c r="G201" s="4" t="s">
        <v>32</v>
      </c>
      <c r="H201" s="4" t="s">
        <v>47</v>
      </c>
      <c r="I201" s="4" t="s">
        <v>228</v>
      </c>
      <c r="J201" s="4" t="s">
        <v>100</v>
      </c>
      <c r="K201" s="4" t="s">
        <v>244</v>
      </c>
      <c r="L201" s="6" t="s">
        <v>48</v>
      </c>
      <c r="M201" s="4" t="s">
        <v>41</v>
      </c>
      <c r="N201" s="4" t="s">
        <v>192</v>
      </c>
      <c r="O201" s="4">
        <f t="shared" si="12"/>
        <v>5.94</v>
      </c>
      <c r="P201" s="4">
        <v>132</v>
      </c>
      <c r="S201" s="4">
        <v>4.5</v>
      </c>
      <c r="W201" s="4">
        <v>273</v>
      </c>
    </row>
    <row r="202" spans="1:28" ht="42.45" hidden="1" x14ac:dyDescent="0.35">
      <c r="A202" s="4" t="s">
        <v>45</v>
      </c>
      <c r="C202" s="4">
        <v>1030</v>
      </c>
      <c r="D202" s="4">
        <v>1</v>
      </c>
      <c r="E202" s="12" t="s">
        <v>22</v>
      </c>
      <c r="F202" s="4">
        <v>2022</v>
      </c>
      <c r="G202" s="4" t="s">
        <v>32</v>
      </c>
      <c r="H202" s="4" t="s">
        <v>55</v>
      </c>
      <c r="I202" s="4" t="s">
        <v>73</v>
      </c>
      <c r="J202" s="4" t="s">
        <v>76</v>
      </c>
      <c r="K202" s="4" t="s">
        <v>244</v>
      </c>
      <c r="L202" s="6" t="s">
        <v>48</v>
      </c>
      <c r="M202" s="4" t="s">
        <v>37</v>
      </c>
      <c r="N202" s="4" t="s">
        <v>51</v>
      </c>
      <c r="O202" s="4">
        <f>P202*T202/100</f>
        <v>20.895</v>
      </c>
      <c r="P202" s="4">
        <v>199</v>
      </c>
      <c r="T202" s="4">
        <v>10.5</v>
      </c>
    </row>
    <row r="203" spans="1:28" ht="42.45" hidden="1" x14ac:dyDescent="0.35">
      <c r="A203" s="4" t="s">
        <v>45</v>
      </c>
      <c r="C203" s="4">
        <v>1030</v>
      </c>
      <c r="D203" s="4">
        <v>1</v>
      </c>
      <c r="E203" s="12" t="s">
        <v>22</v>
      </c>
      <c r="F203" s="4">
        <v>2022</v>
      </c>
      <c r="G203" s="4" t="s">
        <v>32</v>
      </c>
      <c r="H203" s="4" t="s">
        <v>55</v>
      </c>
      <c r="I203" s="4" t="s">
        <v>73</v>
      </c>
      <c r="J203" s="4" t="s">
        <v>76</v>
      </c>
      <c r="K203" s="4" t="s">
        <v>244</v>
      </c>
      <c r="L203" s="6" t="s">
        <v>48</v>
      </c>
      <c r="M203" s="4" t="s">
        <v>37</v>
      </c>
      <c r="N203" s="4" t="s">
        <v>192</v>
      </c>
      <c r="O203" s="4">
        <f>P203*T203/100</f>
        <v>1</v>
      </c>
      <c r="P203" s="4">
        <v>20</v>
      </c>
      <c r="S203" s="4">
        <v>39</v>
      </c>
      <c r="T203" s="4">
        <v>5</v>
      </c>
    </row>
    <row r="204" spans="1:28" ht="42.45" hidden="1" x14ac:dyDescent="0.35">
      <c r="A204" s="4" t="s">
        <v>45</v>
      </c>
      <c r="C204" s="4">
        <v>1030</v>
      </c>
      <c r="D204" s="4">
        <v>1</v>
      </c>
      <c r="E204" s="12" t="s">
        <v>22</v>
      </c>
      <c r="F204" s="4">
        <v>2022</v>
      </c>
      <c r="G204" s="4" t="s">
        <v>32</v>
      </c>
      <c r="H204" s="4" t="s">
        <v>47</v>
      </c>
      <c r="I204" s="4" t="s">
        <v>73</v>
      </c>
      <c r="J204" s="4" t="s">
        <v>76</v>
      </c>
      <c r="K204" s="4" t="s">
        <v>244</v>
      </c>
      <c r="L204" s="6" t="s">
        <v>48</v>
      </c>
      <c r="M204" s="4" t="s">
        <v>37</v>
      </c>
      <c r="N204" s="4" t="s">
        <v>192</v>
      </c>
      <c r="O204" s="4">
        <f>P204*S204/100</f>
        <v>0</v>
      </c>
      <c r="P204" s="4">
        <v>20</v>
      </c>
      <c r="S204" s="4">
        <v>0</v>
      </c>
      <c r="U204" s="4">
        <v>41.9</v>
      </c>
    </row>
    <row r="205" spans="1:28" ht="42.45" hidden="1" x14ac:dyDescent="0.35">
      <c r="A205" s="4" t="s">
        <v>45</v>
      </c>
      <c r="C205" s="4">
        <v>1030</v>
      </c>
      <c r="D205" s="4">
        <v>1</v>
      </c>
      <c r="E205" s="12" t="s">
        <v>22</v>
      </c>
      <c r="F205" s="4">
        <v>2022</v>
      </c>
      <c r="G205" s="4" t="s">
        <v>32</v>
      </c>
      <c r="H205" s="4" t="s">
        <v>47</v>
      </c>
      <c r="I205" s="4" t="s">
        <v>73</v>
      </c>
      <c r="J205" s="4" t="s">
        <v>76</v>
      </c>
      <c r="K205" s="4" t="s">
        <v>244</v>
      </c>
      <c r="L205" s="6" t="s">
        <v>48</v>
      </c>
      <c r="M205" s="4" t="s">
        <v>37</v>
      </c>
      <c r="N205" s="4" t="s">
        <v>51</v>
      </c>
      <c r="O205" s="4">
        <f>P205*S205/100</f>
        <v>1.9950000000000001</v>
      </c>
      <c r="P205" s="4">
        <v>19</v>
      </c>
      <c r="S205" s="4">
        <v>10.5</v>
      </c>
      <c r="T205" s="4">
        <v>6</v>
      </c>
      <c r="U205" s="4">
        <v>6</v>
      </c>
      <c r="X205" s="4">
        <v>39</v>
      </c>
    </row>
    <row r="206" spans="1:28" ht="42.45" hidden="1" x14ac:dyDescent="0.35">
      <c r="A206" s="4" t="s">
        <v>45</v>
      </c>
      <c r="C206" s="4">
        <v>1130</v>
      </c>
      <c r="D206" s="4">
        <v>3</v>
      </c>
      <c r="E206" s="12" t="s">
        <v>46</v>
      </c>
      <c r="F206" s="4">
        <v>2023</v>
      </c>
      <c r="G206" s="4" t="s">
        <v>32</v>
      </c>
      <c r="H206" s="4" t="s">
        <v>47</v>
      </c>
      <c r="I206" s="4" t="s">
        <v>101</v>
      </c>
      <c r="J206" s="4" t="s">
        <v>102</v>
      </c>
      <c r="K206" s="4" t="s">
        <v>244</v>
      </c>
      <c r="L206" s="6" t="s">
        <v>48</v>
      </c>
      <c r="M206" s="4" t="s">
        <v>41</v>
      </c>
      <c r="N206" s="4" t="s">
        <v>49</v>
      </c>
      <c r="O206" s="4">
        <f>P206*S206/100</f>
        <v>10.98</v>
      </c>
      <c r="P206" s="4">
        <v>122</v>
      </c>
      <c r="S206" s="4">
        <v>9</v>
      </c>
    </row>
    <row r="207" spans="1:28" ht="42.45" hidden="1" x14ac:dyDescent="0.35">
      <c r="A207" s="4" t="s">
        <v>45</v>
      </c>
      <c r="C207" s="4">
        <v>1130</v>
      </c>
      <c r="D207" s="4">
        <v>3</v>
      </c>
      <c r="E207" s="12" t="s">
        <v>46</v>
      </c>
      <c r="F207" s="4">
        <v>2023</v>
      </c>
      <c r="G207" s="4" t="s">
        <v>32</v>
      </c>
      <c r="H207" s="4" t="s">
        <v>47</v>
      </c>
      <c r="I207" s="4" t="s">
        <v>101</v>
      </c>
      <c r="J207" s="4" t="s">
        <v>102</v>
      </c>
      <c r="K207" s="4" t="s">
        <v>244</v>
      </c>
      <c r="L207" s="6" t="s">
        <v>48</v>
      </c>
      <c r="M207" s="4" t="s">
        <v>41</v>
      </c>
      <c r="N207" s="4" t="s">
        <v>192</v>
      </c>
      <c r="O207" s="4">
        <f>P207*S207/100</f>
        <v>4</v>
      </c>
      <c r="P207" s="4">
        <v>125</v>
      </c>
      <c r="S207" s="4">
        <v>3.2</v>
      </c>
      <c r="W207" s="4">
        <v>247</v>
      </c>
    </row>
    <row r="208" spans="1:28" ht="42.45" hidden="1" x14ac:dyDescent="0.35">
      <c r="A208" s="4" t="s">
        <v>45</v>
      </c>
      <c r="C208" s="4">
        <v>1010</v>
      </c>
      <c r="D208" s="4">
        <v>6</v>
      </c>
      <c r="E208" s="12" t="s">
        <v>40</v>
      </c>
      <c r="F208" s="4">
        <v>2024</v>
      </c>
      <c r="G208" s="4" t="s">
        <v>32</v>
      </c>
      <c r="H208" s="4" t="s">
        <v>50</v>
      </c>
      <c r="I208" s="4" t="s">
        <v>79</v>
      </c>
      <c r="J208" s="4" t="s">
        <v>80</v>
      </c>
      <c r="K208" s="4" t="s">
        <v>244</v>
      </c>
      <c r="L208" s="6" t="s">
        <v>48</v>
      </c>
      <c r="M208" s="4" t="s">
        <v>41</v>
      </c>
      <c r="N208" s="4" t="s">
        <v>42</v>
      </c>
      <c r="O208" s="4">
        <v>16</v>
      </c>
      <c r="P208" s="4">
        <v>45</v>
      </c>
      <c r="U208" s="4">
        <v>50</v>
      </c>
      <c r="AA208" s="10">
        <v>44977</v>
      </c>
      <c r="AB208" s="4">
        <v>1783</v>
      </c>
    </row>
    <row r="209" spans="1:28" ht="42.45" hidden="1" x14ac:dyDescent="0.35">
      <c r="A209" s="4" t="s">
        <v>45</v>
      </c>
      <c r="C209" s="4">
        <v>1010</v>
      </c>
      <c r="D209" s="4">
        <v>6</v>
      </c>
      <c r="E209" s="12" t="s">
        <v>40</v>
      </c>
      <c r="F209" s="4">
        <v>2024</v>
      </c>
      <c r="G209" s="4" t="s">
        <v>32</v>
      </c>
      <c r="H209" s="4" t="s">
        <v>50</v>
      </c>
      <c r="I209" s="4" t="s">
        <v>79</v>
      </c>
      <c r="J209" s="4" t="s">
        <v>80</v>
      </c>
      <c r="K209" s="4" t="s">
        <v>244</v>
      </c>
      <c r="L209" s="6" t="s">
        <v>48</v>
      </c>
      <c r="M209" s="4" t="s">
        <v>41</v>
      </c>
      <c r="N209" s="4" t="s">
        <v>192</v>
      </c>
      <c r="O209" s="4">
        <v>2</v>
      </c>
      <c r="P209" s="4">
        <v>50</v>
      </c>
      <c r="T209" s="4">
        <v>7.1</v>
      </c>
      <c r="U209" s="4">
        <v>7.1</v>
      </c>
      <c r="AA209" s="10">
        <v>44977</v>
      </c>
      <c r="AB209" s="4">
        <v>1783</v>
      </c>
    </row>
    <row r="210" spans="1:28" ht="42.45" hidden="1" x14ac:dyDescent="0.35">
      <c r="A210" s="4" t="s">
        <v>45</v>
      </c>
      <c r="C210" s="4">
        <v>1030</v>
      </c>
      <c r="D210" s="4">
        <v>1</v>
      </c>
      <c r="E210" s="12" t="s">
        <v>22</v>
      </c>
      <c r="F210" s="4">
        <v>2022</v>
      </c>
      <c r="G210" s="4" t="s">
        <v>32</v>
      </c>
      <c r="H210" s="4" t="s">
        <v>55</v>
      </c>
      <c r="I210" s="4" t="s">
        <v>73</v>
      </c>
      <c r="J210" s="4" t="s">
        <v>99</v>
      </c>
      <c r="K210" s="4" t="s">
        <v>244</v>
      </c>
      <c r="L210" s="6" t="s">
        <v>48</v>
      </c>
      <c r="M210" s="4" t="s">
        <v>37</v>
      </c>
      <c r="N210" s="4" t="s">
        <v>51</v>
      </c>
      <c r="O210" s="4">
        <f>P210*T210/100</f>
        <v>64</v>
      </c>
      <c r="P210" s="4">
        <v>160</v>
      </c>
      <c r="T210" s="4">
        <v>40</v>
      </c>
    </row>
    <row r="211" spans="1:28" ht="42.45" hidden="1" x14ac:dyDescent="0.35">
      <c r="A211" s="4" t="s">
        <v>45</v>
      </c>
      <c r="C211" s="4">
        <v>1030</v>
      </c>
      <c r="D211" s="4">
        <v>1</v>
      </c>
      <c r="E211" s="12" t="s">
        <v>22</v>
      </c>
      <c r="F211" s="4">
        <v>2022</v>
      </c>
      <c r="G211" s="4" t="s">
        <v>32</v>
      </c>
      <c r="H211" s="4" t="s">
        <v>55</v>
      </c>
      <c r="I211" s="4" t="s">
        <v>73</v>
      </c>
      <c r="J211" s="4" t="s">
        <v>99</v>
      </c>
      <c r="K211" s="4" t="s">
        <v>244</v>
      </c>
      <c r="L211" s="6" t="s">
        <v>48</v>
      </c>
      <c r="M211" s="4" t="s">
        <v>37</v>
      </c>
      <c r="N211" s="4" t="s">
        <v>192</v>
      </c>
      <c r="O211" s="4">
        <f>P211*T211/100</f>
        <v>15.01</v>
      </c>
      <c r="P211" s="4">
        <v>158</v>
      </c>
      <c r="S211" s="4">
        <v>318</v>
      </c>
      <c r="T211" s="4">
        <v>9.5</v>
      </c>
    </row>
    <row r="212" spans="1:28" ht="42.45" hidden="1" x14ac:dyDescent="0.35">
      <c r="A212" s="4" t="s">
        <v>45</v>
      </c>
      <c r="C212" s="4">
        <v>1020</v>
      </c>
      <c r="D212" s="4">
        <v>2</v>
      </c>
      <c r="E212" s="12" t="s">
        <v>52</v>
      </c>
      <c r="F212" s="4">
        <v>2024</v>
      </c>
      <c r="G212" s="4" t="s">
        <v>32</v>
      </c>
      <c r="H212" s="4" t="s">
        <v>47</v>
      </c>
      <c r="I212" s="4" t="s">
        <v>73</v>
      </c>
      <c r="J212" s="4" t="s">
        <v>76</v>
      </c>
      <c r="K212" s="4" t="s">
        <v>244</v>
      </c>
      <c r="L212" s="6" t="s">
        <v>48</v>
      </c>
      <c r="M212" s="4" t="s">
        <v>41</v>
      </c>
      <c r="N212" s="4" t="s">
        <v>53</v>
      </c>
      <c r="O212" s="4">
        <f t="shared" ref="O212:O219" si="13">P212*S212/100</f>
        <v>2.9920000000000004</v>
      </c>
      <c r="P212" s="4">
        <v>17</v>
      </c>
      <c r="S212" s="4">
        <v>17.600000000000001</v>
      </c>
      <c r="U212" s="4">
        <v>30.6</v>
      </c>
    </row>
    <row r="213" spans="1:28" ht="42.45" hidden="1" x14ac:dyDescent="0.35">
      <c r="A213" s="4" t="s">
        <v>45</v>
      </c>
      <c r="C213" s="4">
        <v>1020</v>
      </c>
      <c r="D213" s="4">
        <v>2</v>
      </c>
      <c r="E213" s="12" t="s">
        <v>52</v>
      </c>
      <c r="F213" s="4">
        <v>2024</v>
      </c>
      <c r="G213" s="4" t="s">
        <v>32</v>
      </c>
      <c r="H213" s="4" t="s">
        <v>47</v>
      </c>
      <c r="I213" s="4" t="s">
        <v>73</v>
      </c>
      <c r="J213" s="4" t="s">
        <v>76</v>
      </c>
      <c r="K213" s="4" t="s">
        <v>244</v>
      </c>
      <c r="L213" s="6" t="s">
        <v>48</v>
      </c>
      <c r="M213" s="4" t="s">
        <v>41</v>
      </c>
      <c r="N213" s="4" t="s">
        <v>192</v>
      </c>
      <c r="O213" s="4">
        <f t="shared" si="13"/>
        <v>0.99900000000000011</v>
      </c>
      <c r="P213" s="4">
        <v>27</v>
      </c>
      <c r="S213" s="4">
        <v>3.7</v>
      </c>
      <c r="T213" s="4">
        <v>7.5</v>
      </c>
      <c r="U213" s="4">
        <v>7.5</v>
      </c>
    </row>
    <row r="214" spans="1:28" ht="42.45" hidden="1" x14ac:dyDescent="0.35">
      <c r="A214" s="4" t="s">
        <v>45</v>
      </c>
      <c r="C214" s="4">
        <v>1030</v>
      </c>
      <c r="D214" s="4">
        <v>1</v>
      </c>
      <c r="E214" s="12" t="s">
        <v>22</v>
      </c>
      <c r="F214" s="4">
        <v>2022</v>
      </c>
      <c r="G214" s="4" t="s">
        <v>32</v>
      </c>
      <c r="H214" s="4" t="s">
        <v>47</v>
      </c>
      <c r="I214" s="4" t="s">
        <v>101</v>
      </c>
      <c r="J214" s="4" t="s">
        <v>102</v>
      </c>
      <c r="K214" s="4" t="s">
        <v>244</v>
      </c>
      <c r="L214" s="6" t="s">
        <v>48</v>
      </c>
      <c r="M214" s="4" t="s">
        <v>37</v>
      </c>
      <c r="N214" s="4" t="s">
        <v>192</v>
      </c>
      <c r="O214" s="4">
        <f t="shared" si="13"/>
        <v>2.0020000000000002</v>
      </c>
      <c r="P214" s="4">
        <v>77</v>
      </c>
      <c r="S214" s="4">
        <v>2.6</v>
      </c>
    </row>
    <row r="215" spans="1:28" ht="42.45" hidden="1" x14ac:dyDescent="0.35">
      <c r="A215" s="4" t="s">
        <v>45</v>
      </c>
      <c r="C215" s="4">
        <v>1030</v>
      </c>
      <c r="D215" s="4">
        <v>1</v>
      </c>
      <c r="E215" s="12" t="s">
        <v>22</v>
      </c>
      <c r="F215" s="4">
        <v>2022</v>
      </c>
      <c r="G215" s="4" t="s">
        <v>32</v>
      </c>
      <c r="H215" s="4" t="s">
        <v>47</v>
      </c>
      <c r="I215" s="4" t="s">
        <v>101</v>
      </c>
      <c r="J215" s="4" t="s">
        <v>102</v>
      </c>
      <c r="K215" s="4" t="s">
        <v>244</v>
      </c>
      <c r="L215" s="6" t="s">
        <v>48</v>
      </c>
      <c r="M215" s="4" t="s">
        <v>37</v>
      </c>
      <c r="N215" s="4" t="s">
        <v>51</v>
      </c>
      <c r="O215" s="4">
        <f t="shared" si="13"/>
        <v>13.026</v>
      </c>
      <c r="P215" s="4">
        <v>78</v>
      </c>
      <c r="S215" s="4">
        <v>16.7</v>
      </c>
      <c r="X215" s="4">
        <v>155</v>
      </c>
    </row>
    <row r="216" spans="1:28" ht="42.45" hidden="1" x14ac:dyDescent="0.35">
      <c r="A216" s="4" t="s">
        <v>45</v>
      </c>
      <c r="C216" s="4">
        <v>1020</v>
      </c>
      <c r="D216" s="4">
        <v>2</v>
      </c>
      <c r="E216" s="12" t="s">
        <v>52</v>
      </c>
      <c r="F216" s="4">
        <v>2024</v>
      </c>
      <c r="G216" s="4" t="s">
        <v>32</v>
      </c>
      <c r="H216" s="4" t="s">
        <v>47</v>
      </c>
      <c r="I216" s="4" t="s">
        <v>101</v>
      </c>
      <c r="J216" s="4" t="s">
        <v>102</v>
      </c>
      <c r="K216" s="4" t="s">
        <v>244</v>
      </c>
      <c r="L216" s="6" t="s">
        <v>48</v>
      </c>
      <c r="M216" s="4" t="s">
        <v>41</v>
      </c>
      <c r="N216" s="4" t="s">
        <v>53</v>
      </c>
      <c r="O216" s="4">
        <f t="shared" si="13"/>
        <v>11.997</v>
      </c>
      <c r="P216" s="4">
        <v>93</v>
      </c>
      <c r="S216" s="4">
        <v>12.9</v>
      </c>
    </row>
    <row r="217" spans="1:28" ht="42.45" hidden="1" x14ac:dyDescent="0.35">
      <c r="A217" s="4" t="s">
        <v>45</v>
      </c>
      <c r="C217" s="4">
        <v>1020</v>
      </c>
      <c r="D217" s="4">
        <v>2</v>
      </c>
      <c r="E217" s="12" t="s">
        <v>52</v>
      </c>
      <c r="F217" s="4">
        <v>2024</v>
      </c>
      <c r="G217" s="4" t="s">
        <v>32</v>
      </c>
      <c r="H217" s="4" t="s">
        <v>47</v>
      </c>
      <c r="I217" s="4" t="s">
        <v>101</v>
      </c>
      <c r="J217" s="4" t="s">
        <v>102</v>
      </c>
      <c r="K217" s="4" t="s">
        <v>244</v>
      </c>
      <c r="L217" s="6" t="s">
        <v>48</v>
      </c>
      <c r="M217" s="4" t="s">
        <v>41</v>
      </c>
      <c r="N217" s="4" t="s">
        <v>192</v>
      </c>
      <c r="O217" s="4">
        <f t="shared" si="13"/>
        <v>3.9989999999999997</v>
      </c>
      <c r="P217" s="4">
        <v>93</v>
      </c>
      <c r="S217" s="4">
        <v>4.3</v>
      </c>
    </row>
    <row r="218" spans="1:28" ht="42.45" hidden="1" x14ac:dyDescent="0.35">
      <c r="A218" s="4" t="s">
        <v>45</v>
      </c>
      <c r="C218" s="4">
        <v>1130</v>
      </c>
      <c r="D218" s="4">
        <v>3</v>
      </c>
      <c r="E218" s="12" t="s">
        <v>46</v>
      </c>
      <c r="F218" s="4">
        <v>2023</v>
      </c>
      <c r="G218" s="4" t="s">
        <v>32</v>
      </c>
      <c r="H218" s="4" t="s">
        <v>47</v>
      </c>
      <c r="I218" s="4" t="s">
        <v>101</v>
      </c>
      <c r="J218" s="4" t="s">
        <v>103</v>
      </c>
      <c r="K218" s="4" t="s">
        <v>244</v>
      </c>
      <c r="L218" s="6" t="s">
        <v>48</v>
      </c>
      <c r="M218" s="4" t="s">
        <v>41</v>
      </c>
      <c r="N218" s="4" t="s">
        <v>49</v>
      </c>
      <c r="O218" s="4">
        <f t="shared" si="13"/>
        <v>29.975000000000001</v>
      </c>
      <c r="P218" s="4">
        <v>109</v>
      </c>
      <c r="S218" s="4">
        <v>27.5</v>
      </c>
    </row>
    <row r="219" spans="1:28" ht="42.45" hidden="1" x14ac:dyDescent="0.35">
      <c r="A219" s="4" t="s">
        <v>45</v>
      </c>
      <c r="C219" s="4">
        <v>1130</v>
      </c>
      <c r="D219" s="4">
        <v>3</v>
      </c>
      <c r="E219" s="12" t="s">
        <v>46</v>
      </c>
      <c r="F219" s="4">
        <v>2023</v>
      </c>
      <c r="G219" s="4" t="s">
        <v>32</v>
      </c>
      <c r="H219" s="4" t="s">
        <v>47</v>
      </c>
      <c r="I219" s="4" t="s">
        <v>101</v>
      </c>
      <c r="J219" s="4" t="s">
        <v>103</v>
      </c>
      <c r="K219" s="4" t="s">
        <v>244</v>
      </c>
      <c r="L219" s="6" t="s">
        <v>48</v>
      </c>
      <c r="M219" s="4" t="s">
        <v>41</v>
      </c>
      <c r="N219" s="4" t="s">
        <v>192</v>
      </c>
      <c r="O219" s="4">
        <f t="shared" si="13"/>
        <v>5.0289999999999999</v>
      </c>
      <c r="P219" s="4">
        <v>107</v>
      </c>
      <c r="S219" s="4">
        <v>4.7</v>
      </c>
      <c r="W219" s="4">
        <v>216</v>
      </c>
    </row>
    <row r="220" spans="1:28" ht="42.45" hidden="1" x14ac:dyDescent="0.35">
      <c r="A220" s="4" t="s">
        <v>45</v>
      </c>
      <c r="C220" s="4">
        <v>1030</v>
      </c>
      <c r="D220" s="4">
        <v>1</v>
      </c>
      <c r="E220" s="12" t="s">
        <v>22</v>
      </c>
      <c r="F220" s="4">
        <v>2022</v>
      </c>
      <c r="G220" s="4" t="s">
        <v>32</v>
      </c>
      <c r="H220" s="4" t="s">
        <v>55</v>
      </c>
      <c r="I220" s="4" t="s">
        <v>101</v>
      </c>
      <c r="J220" s="4" t="s">
        <v>104</v>
      </c>
      <c r="K220" s="4" t="s">
        <v>244</v>
      </c>
      <c r="L220" s="6" t="s">
        <v>48</v>
      </c>
      <c r="M220" s="4" t="s">
        <v>37</v>
      </c>
      <c r="N220" s="4" t="s">
        <v>51</v>
      </c>
      <c r="O220" s="4">
        <f>P220*T220/100</f>
        <v>21.012000000000004</v>
      </c>
      <c r="P220" s="4">
        <v>51</v>
      </c>
      <c r="T220" s="4">
        <v>41.2</v>
      </c>
    </row>
    <row r="221" spans="1:28" ht="42.45" hidden="1" x14ac:dyDescent="0.35">
      <c r="A221" s="4" t="s">
        <v>45</v>
      </c>
      <c r="C221" s="4">
        <v>1030</v>
      </c>
      <c r="D221" s="4">
        <v>1</v>
      </c>
      <c r="E221" s="12" t="s">
        <v>22</v>
      </c>
      <c r="F221" s="4">
        <v>2022</v>
      </c>
      <c r="G221" s="4" t="s">
        <v>32</v>
      </c>
      <c r="H221" s="4" t="s">
        <v>55</v>
      </c>
      <c r="I221" s="4" t="s">
        <v>101</v>
      </c>
      <c r="J221" s="4" t="s">
        <v>104</v>
      </c>
      <c r="K221" s="4" t="s">
        <v>244</v>
      </c>
      <c r="L221" s="6" t="s">
        <v>48</v>
      </c>
      <c r="M221" s="4" t="s">
        <v>37</v>
      </c>
      <c r="N221" s="4" t="s">
        <v>192</v>
      </c>
      <c r="O221" s="4">
        <f>P221*T221/100</f>
        <v>2.0209999999999999</v>
      </c>
      <c r="P221" s="4">
        <v>47</v>
      </c>
      <c r="S221" s="4">
        <v>98</v>
      </c>
      <c r="T221" s="4">
        <v>4.3</v>
      </c>
    </row>
    <row r="222" spans="1:28" s="18" customFormat="1" ht="42.45" hidden="1" x14ac:dyDescent="0.35">
      <c r="A222" s="18" t="s">
        <v>45</v>
      </c>
      <c r="C222" s="18">
        <v>1030</v>
      </c>
      <c r="D222" s="18">
        <v>1</v>
      </c>
      <c r="E222" s="18" t="s">
        <v>22</v>
      </c>
      <c r="F222" s="18">
        <v>2022</v>
      </c>
      <c r="G222" s="18" t="s">
        <v>32</v>
      </c>
      <c r="H222" s="18" t="s">
        <v>47</v>
      </c>
      <c r="I222" s="18" t="s">
        <v>101</v>
      </c>
      <c r="J222" s="18" t="s">
        <v>105</v>
      </c>
      <c r="K222" s="18" t="s">
        <v>244</v>
      </c>
      <c r="L222" s="19" t="s">
        <v>48</v>
      </c>
      <c r="M222" s="18" t="s">
        <v>37</v>
      </c>
      <c r="N222" s="18" t="s">
        <v>192</v>
      </c>
      <c r="O222" s="18">
        <f>P222*S222/100</f>
        <v>1.9580000000000002</v>
      </c>
      <c r="P222" s="18">
        <v>89</v>
      </c>
      <c r="S222" s="18">
        <v>2.2000000000000002</v>
      </c>
    </row>
    <row r="223" spans="1:28" s="18" customFormat="1" ht="42.45" hidden="1" x14ac:dyDescent="0.35">
      <c r="A223" s="18" t="s">
        <v>45</v>
      </c>
      <c r="C223" s="18">
        <v>1030</v>
      </c>
      <c r="D223" s="18">
        <v>1</v>
      </c>
      <c r="E223" s="18" t="s">
        <v>22</v>
      </c>
      <c r="F223" s="18">
        <v>2022</v>
      </c>
      <c r="G223" s="18" t="s">
        <v>32</v>
      </c>
      <c r="H223" s="18" t="s">
        <v>47</v>
      </c>
      <c r="I223" s="18" t="s">
        <v>101</v>
      </c>
      <c r="J223" s="18" t="s">
        <v>105</v>
      </c>
      <c r="K223" s="18" t="s">
        <v>244</v>
      </c>
      <c r="L223" s="19" t="s">
        <v>48</v>
      </c>
      <c r="M223" s="18" t="s">
        <v>37</v>
      </c>
      <c r="N223" s="18" t="s">
        <v>51</v>
      </c>
      <c r="O223" s="18">
        <f>P223*S223/100</f>
        <v>29.013999999999999</v>
      </c>
      <c r="P223" s="18">
        <v>89</v>
      </c>
      <c r="S223" s="18">
        <v>32.6</v>
      </c>
      <c r="X223" s="18">
        <v>178</v>
      </c>
    </row>
    <row r="224" spans="1:28" ht="42.45" hidden="1" x14ac:dyDescent="0.35">
      <c r="A224" s="4" t="s">
        <v>45</v>
      </c>
      <c r="C224" s="4">
        <v>1030</v>
      </c>
      <c r="D224" s="4">
        <v>1</v>
      </c>
      <c r="E224" s="12" t="s">
        <v>22</v>
      </c>
      <c r="F224" s="4">
        <v>2022</v>
      </c>
      <c r="G224" s="4" t="s">
        <v>32</v>
      </c>
      <c r="H224" s="4" t="s">
        <v>55</v>
      </c>
      <c r="I224" s="4" t="s">
        <v>101</v>
      </c>
      <c r="J224" s="4" t="s">
        <v>103</v>
      </c>
      <c r="K224" s="4" t="s">
        <v>244</v>
      </c>
      <c r="L224" s="6" t="s">
        <v>48</v>
      </c>
      <c r="M224" s="4" t="s">
        <v>37</v>
      </c>
      <c r="N224" s="4" t="s">
        <v>51</v>
      </c>
      <c r="O224" s="4">
        <f>P224*T224/100</f>
        <v>19</v>
      </c>
      <c r="P224" s="4">
        <v>38</v>
      </c>
      <c r="T224" s="4">
        <v>50</v>
      </c>
    </row>
    <row r="225" spans="1:28" ht="42.45" hidden="1" x14ac:dyDescent="0.35">
      <c r="A225" s="4" t="s">
        <v>45</v>
      </c>
      <c r="C225" s="4">
        <v>1030</v>
      </c>
      <c r="D225" s="4">
        <v>1</v>
      </c>
      <c r="E225" s="12" t="s">
        <v>22</v>
      </c>
      <c r="F225" s="4">
        <v>2022</v>
      </c>
      <c r="G225" s="4" t="s">
        <v>32</v>
      </c>
      <c r="H225" s="4" t="s">
        <v>55</v>
      </c>
      <c r="I225" s="4" t="s">
        <v>101</v>
      </c>
      <c r="J225" s="4" t="s">
        <v>103</v>
      </c>
      <c r="K225" s="4" t="s">
        <v>244</v>
      </c>
      <c r="L225" s="6" t="s">
        <v>48</v>
      </c>
      <c r="M225" s="4" t="s">
        <v>37</v>
      </c>
      <c r="N225" s="4" t="s">
        <v>192</v>
      </c>
      <c r="O225" s="4">
        <f>P225*T225/100</f>
        <v>2.9819999999999998</v>
      </c>
      <c r="P225" s="4">
        <v>42</v>
      </c>
      <c r="S225" s="4">
        <v>80</v>
      </c>
      <c r="T225" s="4">
        <v>7.1</v>
      </c>
    </row>
    <row r="226" spans="1:28" ht="42.45" hidden="1" x14ac:dyDescent="0.35">
      <c r="A226" s="4" t="s">
        <v>45</v>
      </c>
      <c r="C226" s="4">
        <v>1030</v>
      </c>
      <c r="D226" s="4">
        <v>1</v>
      </c>
      <c r="E226" s="12" t="s">
        <v>22</v>
      </c>
      <c r="F226" s="4">
        <v>2022</v>
      </c>
      <c r="G226" s="4" t="s">
        <v>32</v>
      </c>
      <c r="H226" s="4" t="s">
        <v>47</v>
      </c>
      <c r="I226" s="4" t="s">
        <v>101</v>
      </c>
      <c r="J226" s="4" t="s">
        <v>103</v>
      </c>
      <c r="K226" s="4" t="s">
        <v>244</v>
      </c>
      <c r="L226" s="6" t="s">
        <v>48</v>
      </c>
      <c r="M226" s="4" t="s">
        <v>37</v>
      </c>
      <c r="N226" s="4" t="s">
        <v>192</v>
      </c>
      <c r="O226" s="4">
        <f>P226*S226/100</f>
        <v>2.016</v>
      </c>
      <c r="P226" s="4">
        <v>42</v>
      </c>
      <c r="S226" s="4">
        <v>4.8</v>
      </c>
    </row>
    <row r="227" spans="1:28" ht="42.45" hidden="1" x14ac:dyDescent="0.35">
      <c r="A227" s="4" t="s">
        <v>45</v>
      </c>
      <c r="C227" s="4">
        <v>1030</v>
      </c>
      <c r="D227" s="4">
        <v>1</v>
      </c>
      <c r="E227" s="12" t="s">
        <v>22</v>
      </c>
      <c r="F227" s="4">
        <v>2022</v>
      </c>
      <c r="G227" s="4" t="s">
        <v>32</v>
      </c>
      <c r="H227" s="4" t="s">
        <v>47</v>
      </c>
      <c r="I227" s="4" t="s">
        <v>101</v>
      </c>
      <c r="J227" s="4" t="s">
        <v>103</v>
      </c>
      <c r="K227" s="4" t="s">
        <v>244</v>
      </c>
      <c r="L227" s="6" t="s">
        <v>48</v>
      </c>
      <c r="M227" s="4" t="s">
        <v>37</v>
      </c>
      <c r="N227" s="4" t="s">
        <v>51</v>
      </c>
      <c r="O227" s="4">
        <f>P227*S227/100</f>
        <v>16.986000000000001</v>
      </c>
      <c r="P227" s="4">
        <v>38</v>
      </c>
      <c r="S227" s="4">
        <v>44.7</v>
      </c>
      <c r="X227" s="4">
        <v>80</v>
      </c>
    </row>
    <row r="228" spans="1:28" ht="42.45" hidden="1" x14ac:dyDescent="0.35">
      <c r="A228" s="4" t="s">
        <v>45</v>
      </c>
      <c r="C228" s="4">
        <v>1020</v>
      </c>
      <c r="D228" s="4">
        <v>2</v>
      </c>
      <c r="E228" s="12" t="s">
        <v>52</v>
      </c>
      <c r="F228" s="4">
        <v>2024</v>
      </c>
      <c r="G228" s="4" t="s">
        <v>32</v>
      </c>
      <c r="H228" s="4" t="s">
        <v>47</v>
      </c>
      <c r="I228" s="4" t="s">
        <v>101</v>
      </c>
      <c r="J228" s="4" t="s">
        <v>105</v>
      </c>
      <c r="K228" s="4" t="s">
        <v>244</v>
      </c>
      <c r="L228" s="6" t="s">
        <v>48</v>
      </c>
      <c r="M228" s="4" t="s">
        <v>41</v>
      </c>
      <c r="N228" s="4" t="s">
        <v>53</v>
      </c>
      <c r="O228" s="4">
        <f>P228*S228/100</f>
        <v>45.056000000000004</v>
      </c>
      <c r="P228" s="4">
        <v>128</v>
      </c>
      <c r="S228" s="4">
        <v>35.200000000000003</v>
      </c>
    </row>
    <row r="229" spans="1:28" ht="42.45" hidden="1" x14ac:dyDescent="0.35">
      <c r="A229" s="4" t="s">
        <v>45</v>
      </c>
      <c r="C229" s="4">
        <v>1020</v>
      </c>
      <c r="D229" s="4">
        <v>2</v>
      </c>
      <c r="E229" s="12" t="s">
        <v>52</v>
      </c>
      <c r="F229" s="4">
        <v>2024</v>
      </c>
      <c r="G229" s="4" t="s">
        <v>32</v>
      </c>
      <c r="H229" s="4" t="s">
        <v>47</v>
      </c>
      <c r="I229" s="4" t="s">
        <v>101</v>
      </c>
      <c r="J229" s="4" t="s">
        <v>105</v>
      </c>
      <c r="K229" s="4" t="s">
        <v>244</v>
      </c>
      <c r="L229" s="6" t="s">
        <v>48</v>
      </c>
      <c r="M229" s="4" t="s">
        <v>41</v>
      </c>
      <c r="N229" s="4" t="s">
        <v>192</v>
      </c>
      <c r="O229" s="4">
        <f>P229*S229/100</f>
        <v>6.016</v>
      </c>
      <c r="P229" s="4">
        <v>128</v>
      </c>
      <c r="S229" s="4">
        <v>4.7</v>
      </c>
    </row>
    <row r="230" spans="1:28" ht="42.45" hidden="1" x14ac:dyDescent="0.35">
      <c r="A230" s="4" t="s">
        <v>45</v>
      </c>
      <c r="C230" s="4">
        <v>1010</v>
      </c>
      <c r="D230" s="4">
        <v>6</v>
      </c>
      <c r="E230" s="12" t="s">
        <v>40</v>
      </c>
      <c r="F230" s="4">
        <v>2024</v>
      </c>
      <c r="G230" s="4" t="s">
        <v>32</v>
      </c>
      <c r="H230" s="4" t="s">
        <v>50</v>
      </c>
      <c r="I230" s="4" t="s">
        <v>79</v>
      </c>
      <c r="J230" s="4" t="s">
        <v>81</v>
      </c>
      <c r="K230" s="4" t="s">
        <v>244</v>
      </c>
      <c r="L230" s="6" t="s">
        <v>48</v>
      </c>
      <c r="M230" s="4" t="s">
        <v>41</v>
      </c>
      <c r="N230" s="4" t="s">
        <v>42</v>
      </c>
      <c r="O230" s="4">
        <v>74</v>
      </c>
      <c r="P230" s="4">
        <v>179</v>
      </c>
      <c r="AA230" s="10">
        <v>44977</v>
      </c>
      <c r="AB230" s="4">
        <v>1783</v>
      </c>
    </row>
    <row r="231" spans="1:28" ht="42.45" hidden="1" x14ac:dyDescent="0.35">
      <c r="A231" s="4" t="s">
        <v>45</v>
      </c>
      <c r="C231" s="4">
        <v>1010</v>
      </c>
      <c r="D231" s="4">
        <v>6</v>
      </c>
      <c r="E231" s="12" t="s">
        <v>40</v>
      </c>
      <c r="F231" s="4">
        <v>2024</v>
      </c>
      <c r="G231" s="4" t="s">
        <v>32</v>
      </c>
      <c r="H231" s="4" t="s">
        <v>50</v>
      </c>
      <c r="I231" s="4" t="s">
        <v>79</v>
      </c>
      <c r="J231" s="4" t="s">
        <v>81</v>
      </c>
      <c r="K231" s="4" t="s">
        <v>244</v>
      </c>
      <c r="L231" s="6" t="s">
        <v>48</v>
      </c>
      <c r="M231" s="4" t="s">
        <v>41</v>
      </c>
      <c r="N231" s="4" t="s">
        <v>192</v>
      </c>
      <c r="O231" s="4">
        <v>11</v>
      </c>
      <c r="P231" s="4">
        <v>175</v>
      </c>
      <c r="AA231" s="10">
        <v>44977</v>
      </c>
      <c r="AB231" s="4">
        <v>1783</v>
      </c>
    </row>
    <row r="232" spans="1:28" ht="42.45" hidden="1" x14ac:dyDescent="0.35">
      <c r="A232" s="4" t="s">
        <v>45</v>
      </c>
      <c r="C232" s="4">
        <v>1030</v>
      </c>
      <c r="D232" s="4">
        <v>1</v>
      </c>
      <c r="E232" s="12" t="s">
        <v>22</v>
      </c>
      <c r="F232" s="4">
        <v>2022</v>
      </c>
      <c r="G232" s="4" t="s">
        <v>32</v>
      </c>
      <c r="H232" s="4" t="s">
        <v>55</v>
      </c>
      <c r="I232" s="4" t="s">
        <v>101</v>
      </c>
      <c r="J232" s="4" t="s">
        <v>105</v>
      </c>
      <c r="K232" s="4" t="s">
        <v>244</v>
      </c>
      <c r="L232" s="6" t="s">
        <v>48</v>
      </c>
      <c r="M232" s="4" t="s">
        <v>37</v>
      </c>
      <c r="N232" s="4" t="s">
        <v>51</v>
      </c>
      <c r="O232" s="4">
        <f>P232*T232/100</f>
        <v>39.960999999999999</v>
      </c>
      <c r="P232" s="4">
        <v>89</v>
      </c>
      <c r="T232" s="4">
        <v>44.9</v>
      </c>
    </row>
    <row r="233" spans="1:28" ht="42.45" hidden="1" x14ac:dyDescent="0.35">
      <c r="A233" s="4" t="s">
        <v>45</v>
      </c>
      <c r="C233" s="4">
        <v>1030</v>
      </c>
      <c r="D233" s="4">
        <v>1</v>
      </c>
      <c r="E233" s="12" t="s">
        <v>22</v>
      </c>
      <c r="F233" s="4">
        <v>2022</v>
      </c>
      <c r="G233" s="4" t="s">
        <v>32</v>
      </c>
      <c r="H233" s="4" t="s">
        <v>55</v>
      </c>
      <c r="I233" s="4" t="s">
        <v>101</v>
      </c>
      <c r="J233" s="4" t="s">
        <v>105</v>
      </c>
      <c r="K233" s="4" t="s">
        <v>244</v>
      </c>
      <c r="L233" s="6" t="s">
        <v>48</v>
      </c>
      <c r="M233" s="4" t="s">
        <v>37</v>
      </c>
      <c r="N233" s="4" t="s">
        <v>192</v>
      </c>
      <c r="O233" s="4">
        <f>P233*T233/100</f>
        <v>4.984</v>
      </c>
      <c r="P233" s="4">
        <v>89</v>
      </c>
      <c r="S233" s="4">
        <v>178</v>
      </c>
      <c r="T233" s="4">
        <v>5.6</v>
      </c>
    </row>
    <row r="234" spans="1:28" ht="42.45" hidden="1" x14ac:dyDescent="0.35">
      <c r="A234" s="4" t="s">
        <v>45</v>
      </c>
      <c r="C234" s="4">
        <v>1130</v>
      </c>
      <c r="D234" s="4">
        <v>3</v>
      </c>
      <c r="E234" s="12" t="s">
        <v>46</v>
      </c>
      <c r="F234" s="4">
        <v>2023</v>
      </c>
      <c r="G234" s="4" t="s">
        <v>32</v>
      </c>
      <c r="H234" s="4" t="s">
        <v>47</v>
      </c>
      <c r="I234" s="4" t="s">
        <v>101</v>
      </c>
      <c r="J234" s="4" t="s">
        <v>104</v>
      </c>
      <c r="K234" s="4" t="s">
        <v>244</v>
      </c>
      <c r="L234" s="6" t="s">
        <v>48</v>
      </c>
      <c r="M234" s="4" t="s">
        <v>41</v>
      </c>
      <c r="N234" s="4" t="s">
        <v>49</v>
      </c>
      <c r="O234" s="4">
        <f t="shared" ref="O234:O239" si="14">P234*S234/100</f>
        <v>22.004999999999999</v>
      </c>
      <c r="P234" s="4">
        <v>135</v>
      </c>
      <c r="S234" s="4">
        <v>16.3</v>
      </c>
    </row>
    <row r="235" spans="1:28" ht="42.45" hidden="1" x14ac:dyDescent="0.35">
      <c r="A235" s="4" t="s">
        <v>45</v>
      </c>
      <c r="C235" s="4">
        <v>1130</v>
      </c>
      <c r="D235" s="4">
        <v>3</v>
      </c>
      <c r="E235" s="12" t="s">
        <v>46</v>
      </c>
      <c r="F235" s="4">
        <v>2023</v>
      </c>
      <c r="G235" s="4" t="s">
        <v>32</v>
      </c>
      <c r="H235" s="4" t="s">
        <v>47</v>
      </c>
      <c r="I235" s="4" t="s">
        <v>101</v>
      </c>
      <c r="J235" s="4" t="s">
        <v>104</v>
      </c>
      <c r="K235" s="4" t="s">
        <v>244</v>
      </c>
      <c r="L235" s="6" t="s">
        <v>48</v>
      </c>
      <c r="M235" s="4" t="s">
        <v>41</v>
      </c>
      <c r="N235" s="4" t="s">
        <v>192</v>
      </c>
      <c r="O235" s="4">
        <f t="shared" si="14"/>
        <v>6.9580000000000011</v>
      </c>
      <c r="P235" s="4">
        <v>142</v>
      </c>
      <c r="S235" s="4">
        <v>4.9000000000000004</v>
      </c>
      <c r="W235" s="4">
        <v>277</v>
      </c>
    </row>
    <row r="236" spans="1:28" ht="42.45" hidden="1" x14ac:dyDescent="0.35">
      <c r="A236" s="4" t="s">
        <v>45</v>
      </c>
      <c r="C236" s="4">
        <v>1030</v>
      </c>
      <c r="D236" s="4">
        <v>1</v>
      </c>
      <c r="E236" s="12" t="s">
        <v>22</v>
      </c>
      <c r="F236" s="4">
        <v>2022</v>
      </c>
      <c r="G236" s="4" t="s">
        <v>32</v>
      </c>
      <c r="H236" s="4" t="s">
        <v>47</v>
      </c>
      <c r="I236" s="4" t="s">
        <v>101</v>
      </c>
      <c r="J236" s="4" t="s">
        <v>104</v>
      </c>
      <c r="K236" s="4" t="s">
        <v>244</v>
      </c>
      <c r="L236" s="6" t="s">
        <v>48</v>
      </c>
      <c r="M236" s="4" t="s">
        <v>37</v>
      </c>
      <c r="N236" s="4" t="s">
        <v>192</v>
      </c>
      <c r="O236" s="4">
        <f t="shared" si="14"/>
        <v>0</v>
      </c>
      <c r="P236" s="4">
        <v>47</v>
      </c>
      <c r="S236" s="4">
        <v>0</v>
      </c>
    </row>
    <row r="237" spans="1:28" ht="42.45" hidden="1" x14ac:dyDescent="0.35">
      <c r="A237" s="4" t="s">
        <v>45</v>
      </c>
      <c r="C237" s="4">
        <v>1030</v>
      </c>
      <c r="D237" s="4">
        <v>1</v>
      </c>
      <c r="E237" s="12" t="s">
        <v>22</v>
      </c>
      <c r="F237" s="4">
        <v>2022</v>
      </c>
      <c r="G237" s="4" t="s">
        <v>32</v>
      </c>
      <c r="H237" s="4" t="s">
        <v>47</v>
      </c>
      <c r="I237" s="4" t="s">
        <v>101</v>
      </c>
      <c r="J237" s="4" t="s">
        <v>104</v>
      </c>
      <c r="K237" s="4" t="s">
        <v>244</v>
      </c>
      <c r="L237" s="6" t="s">
        <v>48</v>
      </c>
      <c r="M237" s="4" t="s">
        <v>37</v>
      </c>
      <c r="N237" s="4" t="s">
        <v>51</v>
      </c>
      <c r="O237" s="4">
        <f t="shared" si="14"/>
        <v>11.984999999999999</v>
      </c>
      <c r="P237" s="4">
        <v>51</v>
      </c>
      <c r="S237" s="4">
        <v>23.5</v>
      </c>
      <c r="X237" s="4">
        <v>98</v>
      </c>
    </row>
    <row r="238" spans="1:28" ht="42.45" hidden="1" x14ac:dyDescent="0.35">
      <c r="A238" s="4" t="s">
        <v>45</v>
      </c>
      <c r="C238" s="4">
        <v>1020</v>
      </c>
      <c r="D238" s="4">
        <v>2</v>
      </c>
      <c r="E238" s="12" t="s">
        <v>52</v>
      </c>
      <c r="F238" s="4">
        <v>2024</v>
      </c>
      <c r="G238" s="4" t="s">
        <v>32</v>
      </c>
      <c r="H238" s="4" t="s">
        <v>47</v>
      </c>
      <c r="I238" s="4" t="s">
        <v>101</v>
      </c>
      <c r="J238" s="4" t="s">
        <v>103</v>
      </c>
      <c r="K238" s="4" t="s">
        <v>244</v>
      </c>
      <c r="L238" s="6" t="s">
        <v>48</v>
      </c>
      <c r="M238" s="4" t="s">
        <v>41</v>
      </c>
      <c r="N238" s="4" t="s">
        <v>53</v>
      </c>
      <c r="O238" s="4">
        <f t="shared" si="14"/>
        <v>22.995000000000001</v>
      </c>
      <c r="P238" s="4">
        <v>45</v>
      </c>
      <c r="S238" s="4">
        <v>51.1</v>
      </c>
    </row>
    <row r="239" spans="1:28" ht="42.45" hidden="1" x14ac:dyDescent="0.35">
      <c r="A239" s="4" t="s">
        <v>45</v>
      </c>
      <c r="C239" s="4">
        <v>1020</v>
      </c>
      <c r="D239" s="4">
        <v>2</v>
      </c>
      <c r="E239" s="12" t="s">
        <v>52</v>
      </c>
      <c r="F239" s="4">
        <v>2024</v>
      </c>
      <c r="G239" s="4" t="s">
        <v>32</v>
      </c>
      <c r="H239" s="4" t="s">
        <v>47</v>
      </c>
      <c r="I239" s="4" t="s">
        <v>101</v>
      </c>
      <c r="J239" s="4" t="s">
        <v>103</v>
      </c>
      <c r="K239" s="4" t="s">
        <v>244</v>
      </c>
      <c r="L239" s="6" t="s">
        <v>48</v>
      </c>
      <c r="M239" s="4" t="s">
        <v>41</v>
      </c>
      <c r="N239" s="4" t="s">
        <v>192</v>
      </c>
      <c r="O239" s="4">
        <f t="shared" si="14"/>
        <v>3.0159999999999996</v>
      </c>
      <c r="P239" s="4">
        <v>52</v>
      </c>
      <c r="S239" s="4">
        <v>5.8</v>
      </c>
    </row>
    <row r="240" spans="1:28" ht="42.45" hidden="1" x14ac:dyDescent="0.35">
      <c r="A240" s="4" t="s">
        <v>45</v>
      </c>
      <c r="C240" s="4">
        <v>1010</v>
      </c>
      <c r="D240" s="4">
        <v>6</v>
      </c>
      <c r="E240" s="12" t="s">
        <v>40</v>
      </c>
      <c r="F240" s="4">
        <v>2024</v>
      </c>
      <c r="G240" s="4" t="s">
        <v>32</v>
      </c>
      <c r="H240" s="4" t="s">
        <v>50</v>
      </c>
      <c r="I240" s="4" t="s">
        <v>101</v>
      </c>
      <c r="J240" s="4" t="s">
        <v>102</v>
      </c>
      <c r="K240" s="4" t="s">
        <v>244</v>
      </c>
      <c r="L240" s="6" t="s">
        <v>48</v>
      </c>
      <c r="M240" s="4" t="s">
        <v>41</v>
      </c>
      <c r="N240" s="4" t="s">
        <v>42</v>
      </c>
      <c r="O240" s="4">
        <v>33</v>
      </c>
      <c r="P240" s="4">
        <v>89</v>
      </c>
      <c r="AA240" s="10">
        <v>44977</v>
      </c>
      <c r="AB240" s="4">
        <v>1783</v>
      </c>
    </row>
    <row r="241" spans="1:28" ht="42.45" hidden="1" x14ac:dyDescent="0.35">
      <c r="A241" s="4" t="s">
        <v>45</v>
      </c>
      <c r="C241" s="4">
        <v>1010</v>
      </c>
      <c r="D241" s="4">
        <v>6</v>
      </c>
      <c r="E241" s="12" t="s">
        <v>40</v>
      </c>
      <c r="F241" s="4">
        <v>2024</v>
      </c>
      <c r="G241" s="4" t="s">
        <v>32</v>
      </c>
      <c r="H241" s="4" t="s">
        <v>50</v>
      </c>
      <c r="I241" s="4" t="s">
        <v>101</v>
      </c>
      <c r="J241" s="4" t="s">
        <v>102</v>
      </c>
      <c r="K241" s="4" t="s">
        <v>244</v>
      </c>
      <c r="L241" s="6" t="s">
        <v>48</v>
      </c>
      <c r="M241" s="4" t="s">
        <v>41</v>
      </c>
      <c r="N241" s="4" t="s">
        <v>192</v>
      </c>
      <c r="O241" s="4">
        <v>7</v>
      </c>
      <c r="P241" s="4">
        <v>84</v>
      </c>
      <c r="AA241" s="10">
        <v>44977</v>
      </c>
      <c r="AB241" s="4">
        <v>1783</v>
      </c>
    </row>
    <row r="242" spans="1:28" ht="42.45" hidden="1" x14ac:dyDescent="0.35">
      <c r="A242" s="4" t="s">
        <v>45</v>
      </c>
      <c r="C242" s="4">
        <v>1030</v>
      </c>
      <c r="D242" s="4">
        <v>1</v>
      </c>
      <c r="E242" s="12" t="s">
        <v>22</v>
      </c>
      <c r="F242" s="4">
        <v>2022</v>
      </c>
      <c r="G242" s="4" t="s">
        <v>32</v>
      </c>
      <c r="H242" s="4" t="s">
        <v>55</v>
      </c>
      <c r="I242" s="4" t="s">
        <v>101</v>
      </c>
      <c r="J242" s="4" t="s">
        <v>102</v>
      </c>
      <c r="K242" s="4" t="s">
        <v>244</v>
      </c>
      <c r="L242" s="6" t="s">
        <v>48</v>
      </c>
      <c r="M242" s="4" t="s">
        <v>37</v>
      </c>
      <c r="N242" s="4" t="s">
        <v>51</v>
      </c>
      <c r="O242" s="4">
        <f>P242*T242/100</f>
        <v>23.01</v>
      </c>
      <c r="P242" s="4">
        <v>78</v>
      </c>
      <c r="T242" s="4">
        <v>29.5</v>
      </c>
    </row>
    <row r="243" spans="1:28" ht="42.45" hidden="1" x14ac:dyDescent="0.35">
      <c r="A243" s="4" t="s">
        <v>45</v>
      </c>
      <c r="C243" s="4">
        <v>1030</v>
      </c>
      <c r="D243" s="4">
        <v>1</v>
      </c>
      <c r="E243" s="12" t="s">
        <v>22</v>
      </c>
      <c r="F243" s="4">
        <v>2022</v>
      </c>
      <c r="G243" s="4" t="s">
        <v>32</v>
      </c>
      <c r="H243" s="4" t="s">
        <v>55</v>
      </c>
      <c r="I243" s="4" t="s">
        <v>101</v>
      </c>
      <c r="J243" s="4" t="s">
        <v>102</v>
      </c>
      <c r="K243" s="4" t="s">
        <v>244</v>
      </c>
      <c r="L243" s="6" t="s">
        <v>48</v>
      </c>
      <c r="M243" s="4" t="s">
        <v>37</v>
      </c>
      <c r="N243" s="4" t="s">
        <v>192</v>
      </c>
      <c r="O243" s="4">
        <f>P243*T243/100</f>
        <v>11.011000000000001</v>
      </c>
      <c r="P243" s="4">
        <v>77</v>
      </c>
      <c r="S243" s="4">
        <v>155</v>
      </c>
      <c r="T243" s="4">
        <v>14.3</v>
      </c>
    </row>
    <row r="244" spans="1:28" ht="42.45" hidden="1" x14ac:dyDescent="0.35">
      <c r="A244" s="4" t="s">
        <v>45</v>
      </c>
      <c r="C244" s="4">
        <v>1030</v>
      </c>
      <c r="D244" s="4">
        <v>1</v>
      </c>
      <c r="E244" s="12" t="s">
        <v>22</v>
      </c>
      <c r="F244" s="4">
        <v>2022</v>
      </c>
      <c r="G244" s="4" t="s">
        <v>32</v>
      </c>
      <c r="H244" s="4" t="s">
        <v>47</v>
      </c>
      <c r="I244" s="4" t="s">
        <v>106</v>
      </c>
      <c r="J244" s="4" t="s">
        <v>107</v>
      </c>
      <c r="K244" s="4" t="s">
        <v>244</v>
      </c>
      <c r="L244" s="6" t="s">
        <v>48</v>
      </c>
      <c r="M244" s="4" t="s">
        <v>37</v>
      </c>
      <c r="N244" s="4" t="s">
        <v>192</v>
      </c>
      <c r="O244" s="4">
        <f>P244*S244/100</f>
        <v>1.0069999999999999</v>
      </c>
      <c r="P244" s="4">
        <v>53</v>
      </c>
      <c r="S244" s="4">
        <v>1.9</v>
      </c>
    </row>
    <row r="245" spans="1:28" ht="42.45" hidden="1" x14ac:dyDescent="0.35">
      <c r="A245" s="4" t="s">
        <v>45</v>
      </c>
      <c r="C245" s="4">
        <v>1030</v>
      </c>
      <c r="D245" s="4">
        <v>1</v>
      </c>
      <c r="E245" s="12" t="s">
        <v>22</v>
      </c>
      <c r="F245" s="4">
        <v>2022</v>
      </c>
      <c r="G245" s="4" t="s">
        <v>32</v>
      </c>
      <c r="H245" s="4" t="s">
        <v>47</v>
      </c>
      <c r="I245" s="4" t="s">
        <v>106</v>
      </c>
      <c r="J245" s="4" t="s">
        <v>107</v>
      </c>
      <c r="K245" s="4" t="s">
        <v>244</v>
      </c>
      <c r="L245" s="6" t="s">
        <v>48</v>
      </c>
      <c r="M245" s="4" t="s">
        <v>37</v>
      </c>
      <c r="N245" s="4" t="s">
        <v>51</v>
      </c>
      <c r="O245" s="4">
        <f>P245*S245/100</f>
        <v>10.975999999999999</v>
      </c>
      <c r="P245" s="4">
        <v>49</v>
      </c>
      <c r="S245" s="4">
        <v>22.4</v>
      </c>
      <c r="X245" s="4">
        <v>102</v>
      </c>
    </row>
    <row r="246" spans="1:28" ht="42.45" hidden="1" x14ac:dyDescent="0.35">
      <c r="A246" s="4" t="s">
        <v>45</v>
      </c>
      <c r="C246" s="4">
        <v>1030</v>
      </c>
      <c r="D246" s="4">
        <v>1</v>
      </c>
      <c r="E246" s="12" t="s">
        <v>22</v>
      </c>
      <c r="F246" s="4">
        <v>2022</v>
      </c>
      <c r="G246" s="4" t="s">
        <v>32</v>
      </c>
      <c r="H246" s="4" t="s">
        <v>55</v>
      </c>
      <c r="I246" s="4" t="s">
        <v>106</v>
      </c>
      <c r="J246" s="4" t="s">
        <v>108</v>
      </c>
      <c r="K246" s="4" t="s">
        <v>244</v>
      </c>
      <c r="L246" s="6" t="s">
        <v>48</v>
      </c>
      <c r="M246" s="4" t="s">
        <v>37</v>
      </c>
      <c r="N246" s="4" t="s">
        <v>51</v>
      </c>
      <c r="O246" s="4">
        <f>P246*T246/100</f>
        <v>18.018000000000001</v>
      </c>
      <c r="P246" s="4">
        <v>39</v>
      </c>
      <c r="T246" s="4">
        <v>46.2</v>
      </c>
    </row>
    <row r="247" spans="1:28" ht="42.45" hidden="1" x14ac:dyDescent="0.35">
      <c r="A247" s="4" t="s">
        <v>45</v>
      </c>
      <c r="C247" s="4">
        <v>1030</v>
      </c>
      <c r="D247" s="4">
        <v>1</v>
      </c>
      <c r="E247" s="12" t="s">
        <v>22</v>
      </c>
      <c r="F247" s="4">
        <v>2022</v>
      </c>
      <c r="G247" s="4" t="s">
        <v>32</v>
      </c>
      <c r="H247" s="4" t="s">
        <v>55</v>
      </c>
      <c r="I247" s="4" t="s">
        <v>106</v>
      </c>
      <c r="J247" s="4" t="s">
        <v>108</v>
      </c>
      <c r="K247" s="4" t="s">
        <v>244</v>
      </c>
      <c r="L247" s="6" t="s">
        <v>48</v>
      </c>
      <c r="M247" s="4" t="s">
        <v>37</v>
      </c>
      <c r="N247" s="4" t="s">
        <v>192</v>
      </c>
      <c r="O247" s="4">
        <f>P247*T247/100</f>
        <v>3.9960000000000004</v>
      </c>
      <c r="P247" s="4">
        <v>37</v>
      </c>
      <c r="S247" s="4">
        <v>76</v>
      </c>
      <c r="T247" s="4">
        <v>10.8</v>
      </c>
    </row>
    <row r="248" spans="1:28" ht="42.45" hidden="1" x14ac:dyDescent="0.35">
      <c r="A248" s="4" t="s">
        <v>45</v>
      </c>
      <c r="C248" s="4">
        <v>1030</v>
      </c>
      <c r="D248" s="4">
        <v>1</v>
      </c>
      <c r="E248" s="12" t="s">
        <v>22</v>
      </c>
      <c r="F248" s="4">
        <v>2022</v>
      </c>
      <c r="G248" s="4" t="s">
        <v>32</v>
      </c>
      <c r="H248" s="4" t="s">
        <v>47</v>
      </c>
      <c r="I248" s="4" t="s">
        <v>106</v>
      </c>
      <c r="J248" s="4" t="s">
        <v>108</v>
      </c>
      <c r="K248" s="4" t="s">
        <v>244</v>
      </c>
      <c r="L248" s="6" t="s">
        <v>48</v>
      </c>
      <c r="M248" s="4" t="s">
        <v>37</v>
      </c>
      <c r="N248" s="4" t="s">
        <v>192</v>
      </c>
      <c r="O248" s="4">
        <f>P248*S248/100</f>
        <v>0.99900000000000011</v>
      </c>
      <c r="P248" s="4">
        <v>37</v>
      </c>
      <c r="S248" s="4">
        <v>2.7</v>
      </c>
    </row>
    <row r="249" spans="1:28" ht="42.45" hidden="1" x14ac:dyDescent="0.35">
      <c r="A249" s="4" t="s">
        <v>45</v>
      </c>
      <c r="C249" s="4">
        <v>1030</v>
      </c>
      <c r="D249" s="4">
        <v>1</v>
      </c>
      <c r="E249" s="12" t="s">
        <v>22</v>
      </c>
      <c r="F249" s="4">
        <v>2022</v>
      </c>
      <c r="G249" s="4" t="s">
        <v>32</v>
      </c>
      <c r="H249" s="4" t="s">
        <v>47</v>
      </c>
      <c r="I249" s="4" t="s">
        <v>106</v>
      </c>
      <c r="J249" s="4" t="s">
        <v>108</v>
      </c>
      <c r="K249" s="4" t="s">
        <v>244</v>
      </c>
      <c r="L249" s="6" t="s">
        <v>48</v>
      </c>
      <c r="M249" s="4" t="s">
        <v>37</v>
      </c>
      <c r="N249" s="4" t="s">
        <v>51</v>
      </c>
      <c r="O249" s="4">
        <f>P249*S249/100</f>
        <v>12.012</v>
      </c>
      <c r="P249" s="4">
        <v>39</v>
      </c>
      <c r="S249" s="4">
        <v>30.8</v>
      </c>
      <c r="X249" s="4">
        <v>76</v>
      </c>
    </row>
    <row r="250" spans="1:28" ht="42.45" hidden="1" x14ac:dyDescent="0.35">
      <c r="A250" s="4" t="s">
        <v>45</v>
      </c>
      <c r="C250" s="4">
        <v>1020</v>
      </c>
      <c r="D250" s="4">
        <v>2</v>
      </c>
      <c r="E250" s="12" t="s">
        <v>52</v>
      </c>
      <c r="F250" s="4">
        <v>2024</v>
      </c>
      <c r="G250" s="4" t="s">
        <v>32</v>
      </c>
      <c r="H250" s="4" t="s">
        <v>50</v>
      </c>
      <c r="I250" s="4" t="s">
        <v>101</v>
      </c>
      <c r="J250" s="4" t="s">
        <v>104</v>
      </c>
      <c r="K250" s="4" t="s">
        <v>244</v>
      </c>
      <c r="L250" s="6" t="s">
        <v>48</v>
      </c>
      <c r="M250" s="4" t="s">
        <v>41</v>
      </c>
      <c r="N250" s="4" t="s">
        <v>53</v>
      </c>
      <c r="O250" s="4">
        <f>P250*S250/100</f>
        <v>21.995000000000001</v>
      </c>
      <c r="P250" s="4">
        <v>83</v>
      </c>
      <c r="S250" s="4">
        <v>26.5</v>
      </c>
    </row>
    <row r="251" spans="1:28" ht="42.45" hidden="1" x14ac:dyDescent="0.35">
      <c r="A251" s="4" t="s">
        <v>45</v>
      </c>
      <c r="C251" s="4">
        <v>1020</v>
      </c>
      <c r="D251" s="4">
        <v>2</v>
      </c>
      <c r="E251" s="12" t="s">
        <v>52</v>
      </c>
      <c r="F251" s="4">
        <v>2024</v>
      </c>
      <c r="G251" s="4" t="s">
        <v>32</v>
      </c>
      <c r="H251" s="4" t="s">
        <v>47</v>
      </c>
      <c r="I251" s="4" t="s">
        <v>101</v>
      </c>
      <c r="J251" s="4" t="s">
        <v>104</v>
      </c>
      <c r="K251" s="4" t="s">
        <v>244</v>
      </c>
      <c r="L251" s="6" t="s">
        <v>48</v>
      </c>
      <c r="M251" s="4" t="s">
        <v>41</v>
      </c>
      <c r="N251" s="4" t="s">
        <v>192</v>
      </c>
      <c r="O251" s="4">
        <f>P251*S251/100</f>
        <v>2.964</v>
      </c>
      <c r="P251" s="4">
        <v>76</v>
      </c>
      <c r="S251" s="4">
        <v>3.9</v>
      </c>
    </row>
    <row r="252" spans="1:28" ht="42.45" hidden="1" x14ac:dyDescent="0.35">
      <c r="A252" s="4" t="s">
        <v>45</v>
      </c>
      <c r="C252" s="4">
        <v>1130</v>
      </c>
      <c r="D252" s="4">
        <v>3</v>
      </c>
      <c r="E252" s="12" t="s">
        <v>46</v>
      </c>
      <c r="F252" s="4">
        <v>2023</v>
      </c>
      <c r="G252" s="4" t="s">
        <v>32</v>
      </c>
      <c r="H252" s="4" t="s">
        <v>47</v>
      </c>
      <c r="I252" s="4" t="s">
        <v>109</v>
      </c>
      <c r="J252" s="4" t="s">
        <v>110</v>
      </c>
      <c r="K252" s="4" t="s">
        <v>244</v>
      </c>
      <c r="L252" s="6" t="s">
        <v>48</v>
      </c>
      <c r="M252" s="4" t="s">
        <v>41</v>
      </c>
      <c r="N252" s="4" t="s">
        <v>49</v>
      </c>
      <c r="O252" s="4">
        <f>P252*Q252/100</f>
        <v>51.071999999999996</v>
      </c>
      <c r="P252" s="4">
        <v>266</v>
      </c>
      <c r="Q252" s="4">
        <v>19.2</v>
      </c>
      <c r="S252" s="4" t="s">
        <v>246</v>
      </c>
    </row>
    <row r="253" spans="1:28" ht="42.45" hidden="1" x14ac:dyDescent="0.35">
      <c r="A253" s="4" t="s">
        <v>45</v>
      </c>
      <c r="C253" s="4">
        <v>1130</v>
      </c>
      <c r="D253" s="4">
        <v>3</v>
      </c>
      <c r="E253" s="12" t="s">
        <v>46</v>
      </c>
      <c r="F253" s="4">
        <v>2023</v>
      </c>
      <c r="G253" s="4" t="s">
        <v>32</v>
      </c>
      <c r="H253" s="4" t="s">
        <v>47</v>
      </c>
      <c r="I253" s="4" t="s">
        <v>109</v>
      </c>
      <c r="J253" s="4" t="s">
        <v>110</v>
      </c>
      <c r="K253" s="4" t="s">
        <v>244</v>
      </c>
      <c r="L253" s="6" t="s">
        <v>48</v>
      </c>
      <c r="M253" s="4" t="s">
        <v>41</v>
      </c>
      <c r="N253" s="4" t="s">
        <v>192</v>
      </c>
      <c r="O253" s="4">
        <f>P253*Q253/100</f>
        <v>13.9</v>
      </c>
      <c r="P253" s="4">
        <v>278</v>
      </c>
      <c r="Q253" s="4">
        <v>5</v>
      </c>
      <c r="S253" s="4" t="s">
        <v>246</v>
      </c>
      <c r="W253" s="4">
        <v>544</v>
      </c>
    </row>
    <row r="254" spans="1:28" ht="42.45" hidden="1" x14ac:dyDescent="0.35">
      <c r="A254" s="4" t="s">
        <v>45</v>
      </c>
      <c r="C254" s="4">
        <v>1010</v>
      </c>
      <c r="D254" s="4">
        <v>6</v>
      </c>
      <c r="E254" s="12" t="s">
        <v>40</v>
      </c>
      <c r="F254" s="4">
        <v>2024</v>
      </c>
      <c r="G254" s="4" t="s">
        <v>32</v>
      </c>
      <c r="H254" s="4" t="s">
        <v>50</v>
      </c>
      <c r="I254" s="4" t="s">
        <v>101</v>
      </c>
      <c r="J254" s="4" t="s">
        <v>105</v>
      </c>
      <c r="K254" s="4" t="s">
        <v>244</v>
      </c>
      <c r="L254" s="6" t="s">
        <v>48</v>
      </c>
      <c r="M254" s="4" t="s">
        <v>41</v>
      </c>
      <c r="N254" s="4" t="s">
        <v>42</v>
      </c>
      <c r="O254" s="4">
        <v>57</v>
      </c>
      <c r="P254" s="4">
        <v>130</v>
      </c>
      <c r="AA254" s="10">
        <v>44977</v>
      </c>
      <c r="AB254" s="4">
        <v>1783</v>
      </c>
    </row>
    <row r="255" spans="1:28" ht="42.45" hidden="1" x14ac:dyDescent="0.35">
      <c r="A255" s="4" t="s">
        <v>45</v>
      </c>
      <c r="C255" s="4">
        <v>1010</v>
      </c>
      <c r="D255" s="4">
        <v>6</v>
      </c>
      <c r="E255" s="12" t="s">
        <v>40</v>
      </c>
      <c r="F255" s="4">
        <v>2024</v>
      </c>
      <c r="G255" s="4" t="s">
        <v>32</v>
      </c>
      <c r="H255" s="4" t="s">
        <v>50</v>
      </c>
      <c r="I255" s="4" t="s">
        <v>101</v>
      </c>
      <c r="J255" s="4" t="s">
        <v>105</v>
      </c>
      <c r="K255" s="4" t="s">
        <v>244</v>
      </c>
      <c r="L255" s="6" t="s">
        <v>48</v>
      </c>
      <c r="M255" s="4" t="s">
        <v>41</v>
      </c>
      <c r="N255" s="4" t="s">
        <v>192</v>
      </c>
      <c r="O255" s="4">
        <v>6</v>
      </c>
      <c r="P255" s="4">
        <v>131</v>
      </c>
      <c r="AA255" s="10">
        <v>44977</v>
      </c>
      <c r="AB255" s="4">
        <v>1783</v>
      </c>
    </row>
    <row r="256" spans="1:28" ht="42.45" hidden="1" x14ac:dyDescent="0.35">
      <c r="A256" s="4" t="s">
        <v>45</v>
      </c>
      <c r="C256" s="4">
        <v>1030</v>
      </c>
      <c r="D256" s="4">
        <v>1</v>
      </c>
      <c r="E256" s="12" t="s">
        <v>22</v>
      </c>
      <c r="F256" s="4">
        <v>2022</v>
      </c>
      <c r="G256" s="4" t="s">
        <v>32</v>
      </c>
      <c r="H256" s="4" t="s">
        <v>55</v>
      </c>
      <c r="I256" s="4" t="s">
        <v>106</v>
      </c>
      <c r="J256" s="4" t="s">
        <v>107</v>
      </c>
      <c r="K256" s="4" t="s">
        <v>244</v>
      </c>
      <c r="L256" s="6" t="s">
        <v>48</v>
      </c>
      <c r="M256" s="4" t="s">
        <v>37</v>
      </c>
      <c r="N256" s="4" t="s">
        <v>51</v>
      </c>
      <c r="O256" s="4">
        <f>P256*T256/100</f>
        <v>14.994000000000002</v>
      </c>
      <c r="P256" s="4">
        <v>49</v>
      </c>
      <c r="T256" s="4">
        <v>30.6</v>
      </c>
    </row>
    <row r="257" spans="1:28" ht="42.45" hidden="1" x14ac:dyDescent="0.35">
      <c r="A257" s="4" t="s">
        <v>45</v>
      </c>
      <c r="C257" s="4">
        <v>1030</v>
      </c>
      <c r="D257" s="4">
        <v>1</v>
      </c>
      <c r="E257" s="12" t="s">
        <v>22</v>
      </c>
      <c r="F257" s="4">
        <v>2022</v>
      </c>
      <c r="G257" s="4" t="s">
        <v>32</v>
      </c>
      <c r="H257" s="4" t="s">
        <v>55</v>
      </c>
      <c r="I257" s="4" t="s">
        <v>106</v>
      </c>
      <c r="J257" s="4" t="s">
        <v>107</v>
      </c>
      <c r="K257" s="4" t="s">
        <v>244</v>
      </c>
      <c r="L257" s="6" t="s">
        <v>48</v>
      </c>
      <c r="M257" s="4" t="s">
        <v>37</v>
      </c>
      <c r="N257" s="4" t="s">
        <v>192</v>
      </c>
      <c r="O257" s="4">
        <f>P257*T257/100</f>
        <v>3.9750000000000001</v>
      </c>
      <c r="P257" s="4">
        <v>53</v>
      </c>
      <c r="S257" s="4">
        <v>102</v>
      </c>
      <c r="T257" s="4">
        <v>7.5</v>
      </c>
    </row>
    <row r="258" spans="1:28" ht="42.45" hidden="1" x14ac:dyDescent="0.35">
      <c r="A258" s="4" t="s">
        <v>45</v>
      </c>
      <c r="C258" s="4">
        <v>1030</v>
      </c>
      <c r="D258" s="4">
        <v>1</v>
      </c>
      <c r="E258" s="12" t="s">
        <v>22</v>
      </c>
      <c r="F258" s="4">
        <v>2022</v>
      </c>
      <c r="G258" s="4" t="s">
        <v>32</v>
      </c>
      <c r="H258" s="4" t="s">
        <v>47</v>
      </c>
      <c r="I258" s="4" t="s">
        <v>109</v>
      </c>
      <c r="J258" s="4" t="s">
        <v>110</v>
      </c>
      <c r="K258" s="4" t="s">
        <v>244</v>
      </c>
      <c r="L258" s="6" t="s">
        <v>48</v>
      </c>
      <c r="M258" s="4" t="s">
        <v>37</v>
      </c>
      <c r="N258" s="4" t="s">
        <v>192</v>
      </c>
      <c r="O258" s="4">
        <f>P258*S258/100</f>
        <v>0</v>
      </c>
      <c r="P258" s="4">
        <v>33</v>
      </c>
      <c r="S258" s="4">
        <v>0</v>
      </c>
    </row>
    <row r="259" spans="1:28" ht="42.45" hidden="1" x14ac:dyDescent="0.35">
      <c r="A259" s="4" t="s">
        <v>45</v>
      </c>
      <c r="C259" s="4">
        <v>1030</v>
      </c>
      <c r="D259" s="4">
        <v>1</v>
      </c>
      <c r="E259" s="12" t="s">
        <v>22</v>
      </c>
      <c r="F259" s="4">
        <v>2022</v>
      </c>
      <c r="G259" s="4" t="s">
        <v>32</v>
      </c>
      <c r="H259" s="4" t="s">
        <v>47</v>
      </c>
      <c r="I259" s="4" t="s">
        <v>109</v>
      </c>
      <c r="J259" s="4" t="s">
        <v>110</v>
      </c>
      <c r="K259" s="4" t="s">
        <v>244</v>
      </c>
      <c r="L259" s="6" t="s">
        <v>48</v>
      </c>
      <c r="M259" s="4" t="s">
        <v>37</v>
      </c>
      <c r="N259" s="4" t="s">
        <v>51</v>
      </c>
      <c r="O259" s="4">
        <f>P259*S259/100</f>
        <v>12.012</v>
      </c>
      <c r="P259" s="4">
        <v>39</v>
      </c>
      <c r="S259" s="4">
        <v>30.8</v>
      </c>
      <c r="X259" s="4">
        <v>72</v>
      </c>
    </row>
    <row r="260" spans="1:28" ht="42.45" hidden="1" x14ac:dyDescent="0.35">
      <c r="A260" s="4" t="s">
        <v>45</v>
      </c>
      <c r="C260" s="4">
        <v>1020</v>
      </c>
      <c r="D260" s="4">
        <v>2</v>
      </c>
      <c r="E260" s="12" t="s">
        <v>52</v>
      </c>
      <c r="F260" s="4">
        <v>2024</v>
      </c>
      <c r="G260" s="4" t="s">
        <v>32</v>
      </c>
      <c r="H260" s="4" t="s">
        <v>47</v>
      </c>
      <c r="I260" s="4" t="s">
        <v>109</v>
      </c>
      <c r="J260" s="4" t="s">
        <v>110</v>
      </c>
      <c r="K260" s="4" t="s">
        <v>244</v>
      </c>
      <c r="L260" s="6" t="s">
        <v>48</v>
      </c>
      <c r="M260" s="4" t="s">
        <v>41</v>
      </c>
      <c r="N260" s="4" t="s">
        <v>53</v>
      </c>
      <c r="O260" s="4">
        <f>P260*S260/100</f>
        <v>41.082000000000001</v>
      </c>
      <c r="P260" s="4">
        <v>167</v>
      </c>
      <c r="S260" s="4">
        <v>24.6</v>
      </c>
    </row>
    <row r="261" spans="1:28" ht="42.45" hidden="1" x14ac:dyDescent="0.35">
      <c r="A261" s="4" t="s">
        <v>45</v>
      </c>
      <c r="C261" s="4">
        <v>1020</v>
      </c>
      <c r="D261" s="4">
        <v>2</v>
      </c>
      <c r="E261" s="12" t="s">
        <v>52</v>
      </c>
      <c r="F261" s="4">
        <v>2024</v>
      </c>
      <c r="G261" s="4" t="s">
        <v>32</v>
      </c>
      <c r="H261" s="4" t="s">
        <v>47</v>
      </c>
      <c r="I261" s="4" t="s">
        <v>109</v>
      </c>
      <c r="J261" s="4" t="s">
        <v>110</v>
      </c>
      <c r="K261" s="4" t="s">
        <v>244</v>
      </c>
      <c r="L261" s="6" t="s">
        <v>48</v>
      </c>
      <c r="M261" s="4" t="s">
        <v>41</v>
      </c>
      <c r="N261" s="4" t="s">
        <v>192</v>
      </c>
      <c r="O261" s="4">
        <f>P261*S261/100</f>
        <v>9</v>
      </c>
      <c r="P261" s="4">
        <v>180</v>
      </c>
      <c r="S261" s="4">
        <v>5</v>
      </c>
    </row>
    <row r="262" spans="1:28" ht="42.45" hidden="1" x14ac:dyDescent="0.35">
      <c r="A262" s="4" t="s">
        <v>45</v>
      </c>
      <c r="C262" s="4">
        <v>1130</v>
      </c>
      <c r="D262" s="4">
        <v>3</v>
      </c>
      <c r="E262" s="12" t="s">
        <v>46</v>
      </c>
      <c r="F262" s="4">
        <v>2023</v>
      </c>
      <c r="G262" s="4" t="s">
        <v>32</v>
      </c>
      <c r="H262" s="4" t="s">
        <v>47</v>
      </c>
      <c r="I262" s="4" t="s">
        <v>109</v>
      </c>
      <c r="J262" s="4" t="s">
        <v>111</v>
      </c>
      <c r="K262" s="4" t="s">
        <v>244</v>
      </c>
      <c r="L262" s="6" t="s">
        <v>48</v>
      </c>
      <c r="M262" s="4" t="s">
        <v>41</v>
      </c>
      <c r="N262" s="4" t="s">
        <v>49</v>
      </c>
      <c r="O262" s="4">
        <f>P262*Q262/100</f>
        <v>12</v>
      </c>
      <c r="P262" s="4">
        <v>100</v>
      </c>
      <c r="Q262" s="4">
        <v>12</v>
      </c>
      <c r="S262" s="4" t="s">
        <v>246</v>
      </c>
    </row>
    <row r="263" spans="1:28" ht="42.45" hidden="1" x14ac:dyDescent="0.35">
      <c r="A263" s="4" t="s">
        <v>45</v>
      </c>
      <c r="C263" s="4">
        <v>1130</v>
      </c>
      <c r="D263" s="4">
        <v>3</v>
      </c>
      <c r="E263" s="12" t="s">
        <v>46</v>
      </c>
      <c r="F263" s="4">
        <v>2023</v>
      </c>
      <c r="G263" s="4" t="s">
        <v>32</v>
      </c>
      <c r="H263" s="4" t="s">
        <v>47</v>
      </c>
      <c r="I263" s="4" t="s">
        <v>109</v>
      </c>
      <c r="J263" s="4" t="s">
        <v>111</v>
      </c>
      <c r="K263" s="4" t="s">
        <v>244</v>
      </c>
      <c r="L263" s="6" t="s">
        <v>48</v>
      </c>
      <c r="M263" s="4" t="s">
        <v>41</v>
      </c>
      <c r="N263" s="4" t="s">
        <v>192</v>
      </c>
      <c r="O263" s="4">
        <f>P263*Q263/100</f>
        <v>2.016</v>
      </c>
      <c r="P263" s="4">
        <v>96</v>
      </c>
      <c r="Q263" s="4">
        <v>2.1</v>
      </c>
      <c r="S263" s="4" t="s">
        <v>246</v>
      </c>
      <c r="W263" s="4">
        <v>196</v>
      </c>
    </row>
    <row r="264" spans="1:28" ht="42.45" hidden="1" x14ac:dyDescent="0.35">
      <c r="A264" s="4" t="s">
        <v>45</v>
      </c>
      <c r="C264" s="4">
        <v>1010</v>
      </c>
      <c r="D264" s="4">
        <v>6</v>
      </c>
      <c r="E264" s="12" t="s">
        <v>40</v>
      </c>
      <c r="F264" s="4">
        <v>2024</v>
      </c>
      <c r="G264" s="4" t="s">
        <v>32</v>
      </c>
      <c r="H264" s="4" t="s">
        <v>50</v>
      </c>
      <c r="I264" s="4" t="s">
        <v>73</v>
      </c>
      <c r="J264" s="4" t="s">
        <v>99</v>
      </c>
      <c r="K264" s="4" t="s">
        <v>244</v>
      </c>
      <c r="L264" s="6" t="s">
        <v>48</v>
      </c>
      <c r="M264" s="4" t="s">
        <v>41</v>
      </c>
      <c r="N264" s="4" t="s">
        <v>42</v>
      </c>
      <c r="O264" s="4">
        <v>83</v>
      </c>
      <c r="P264" s="4">
        <v>192</v>
      </c>
      <c r="AA264" s="10">
        <v>44977</v>
      </c>
      <c r="AB264" s="4">
        <v>1783</v>
      </c>
    </row>
    <row r="265" spans="1:28" ht="42.45" hidden="1" x14ac:dyDescent="0.35">
      <c r="A265" s="4" t="s">
        <v>45</v>
      </c>
      <c r="C265" s="4">
        <v>1010</v>
      </c>
      <c r="D265" s="4">
        <v>6</v>
      </c>
      <c r="E265" s="12" t="s">
        <v>40</v>
      </c>
      <c r="F265" s="4">
        <v>2024</v>
      </c>
      <c r="G265" s="4" t="s">
        <v>32</v>
      </c>
      <c r="H265" s="4" t="s">
        <v>50</v>
      </c>
      <c r="I265" s="4" t="s">
        <v>73</v>
      </c>
      <c r="J265" s="4" t="s">
        <v>99</v>
      </c>
      <c r="K265" s="4" t="s">
        <v>244</v>
      </c>
      <c r="L265" s="6" t="s">
        <v>48</v>
      </c>
      <c r="M265" s="4" t="s">
        <v>41</v>
      </c>
      <c r="N265" s="4" t="s">
        <v>192</v>
      </c>
      <c r="O265" s="4">
        <v>11</v>
      </c>
      <c r="P265" s="4">
        <v>188</v>
      </c>
      <c r="AA265" s="10">
        <v>44977</v>
      </c>
      <c r="AB265" s="4">
        <v>1783</v>
      </c>
    </row>
    <row r="266" spans="1:28" ht="42.45" hidden="1" x14ac:dyDescent="0.35">
      <c r="A266" s="4" t="s">
        <v>45</v>
      </c>
      <c r="C266" s="4">
        <v>1030</v>
      </c>
      <c r="D266" s="4">
        <v>1</v>
      </c>
      <c r="E266" s="12" t="s">
        <v>22</v>
      </c>
      <c r="F266" s="4">
        <v>2022</v>
      </c>
      <c r="G266" s="4" t="s">
        <v>32</v>
      </c>
      <c r="H266" s="4" t="s">
        <v>55</v>
      </c>
      <c r="I266" s="4" t="s">
        <v>109</v>
      </c>
      <c r="J266" s="4" t="s">
        <v>111</v>
      </c>
      <c r="K266" s="4" t="s">
        <v>244</v>
      </c>
      <c r="L266" s="6" t="s">
        <v>48</v>
      </c>
      <c r="M266" s="4" t="s">
        <v>37</v>
      </c>
      <c r="N266" s="4" t="s">
        <v>51</v>
      </c>
      <c r="O266" s="4">
        <f>P266*T266/100</f>
        <v>45.012</v>
      </c>
      <c r="P266" s="4">
        <v>124</v>
      </c>
      <c r="T266" s="4">
        <v>36.299999999999997</v>
      </c>
    </row>
    <row r="267" spans="1:28" ht="42.45" hidden="1" x14ac:dyDescent="0.35">
      <c r="A267" s="4" t="s">
        <v>45</v>
      </c>
      <c r="C267" s="4">
        <v>1030</v>
      </c>
      <c r="D267" s="4">
        <v>1</v>
      </c>
      <c r="E267" s="12" t="s">
        <v>22</v>
      </c>
      <c r="F267" s="4">
        <v>2022</v>
      </c>
      <c r="G267" s="4" t="s">
        <v>32</v>
      </c>
      <c r="H267" s="4" t="s">
        <v>55</v>
      </c>
      <c r="I267" s="4" t="s">
        <v>109</v>
      </c>
      <c r="J267" s="4" t="s">
        <v>111</v>
      </c>
      <c r="K267" s="4" t="s">
        <v>244</v>
      </c>
      <c r="L267" s="6" t="s">
        <v>48</v>
      </c>
      <c r="M267" s="4" t="s">
        <v>37</v>
      </c>
      <c r="N267" s="4" t="s">
        <v>192</v>
      </c>
      <c r="O267" s="4">
        <f>P267*T267/100</f>
        <v>12.06</v>
      </c>
      <c r="P267" s="4">
        <v>134</v>
      </c>
      <c r="S267" s="4">
        <v>258</v>
      </c>
      <c r="T267" s="4">
        <v>9</v>
      </c>
    </row>
    <row r="268" spans="1:28" ht="42.45" hidden="1" x14ac:dyDescent="0.35">
      <c r="A268" s="4" t="s">
        <v>45</v>
      </c>
      <c r="C268" s="4">
        <v>1030</v>
      </c>
      <c r="D268" s="4">
        <v>1</v>
      </c>
      <c r="E268" s="12" t="s">
        <v>22</v>
      </c>
      <c r="F268" s="4">
        <v>2022</v>
      </c>
      <c r="G268" s="4" t="s">
        <v>32</v>
      </c>
      <c r="H268" s="4" t="s">
        <v>47</v>
      </c>
      <c r="I268" s="4" t="s">
        <v>109</v>
      </c>
      <c r="J268" s="4" t="s">
        <v>111</v>
      </c>
      <c r="K268" s="4" t="s">
        <v>244</v>
      </c>
      <c r="L268" s="6" t="s">
        <v>48</v>
      </c>
      <c r="M268" s="4" t="s">
        <v>37</v>
      </c>
      <c r="N268" s="4" t="s">
        <v>192</v>
      </c>
      <c r="O268" s="4">
        <f t="shared" ref="O268:O273" si="15">P268*S268/100</f>
        <v>2.948</v>
      </c>
      <c r="P268" s="4">
        <v>134</v>
      </c>
      <c r="S268" s="4">
        <v>2.2000000000000002</v>
      </c>
    </row>
    <row r="269" spans="1:28" ht="42.45" hidden="1" x14ac:dyDescent="0.35">
      <c r="A269" s="4" t="s">
        <v>45</v>
      </c>
      <c r="C269" s="4">
        <v>1030</v>
      </c>
      <c r="D269" s="4">
        <v>1</v>
      </c>
      <c r="E269" s="12" t="s">
        <v>22</v>
      </c>
      <c r="F269" s="4">
        <v>2022</v>
      </c>
      <c r="G269" s="4" t="s">
        <v>32</v>
      </c>
      <c r="H269" s="4" t="s">
        <v>47</v>
      </c>
      <c r="I269" s="4" t="s">
        <v>109</v>
      </c>
      <c r="J269" s="4" t="s">
        <v>111</v>
      </c>
      <c r="K269" s="4" t="s">
        <v>244</v>
      </c>
      <c r="L269" s="6" t="s">
        <v>48</v>
      </c>
      <c r="M269" s="4" t="s">
        <v>37</v>
      </c>
      <c r="N269" s="4" t="s">
        <v>51</v>
      </c>
      <c r="O269" s="4">
        <f t="shared" si="15"/>
        <v>27.032000000000004</v>
      </c>
      <c r="P269" s="4">
        <v>124</v>
      </c>
      <c r="S269" s="4">
        <v>21.8</v>
      </c>
      <c r="X269" s="4">
        <v>258</v>
      </c>
    </row>
    <row r="270" spans="1:28" ht="42.45" hidden="1" x14ac:dyDescent="0.35">
      <c r="A270" s="4" t="s">
        <v>45</v>
      </c>
      <c r="C270" s="4">
        <v>1020</v>
      </c>
      <c r="D270" s="4">
        <v>2</v>
      </c>
      <c r="E270" s="12" t="s">
        <v>52</v>
      </c>
      <c r="F270" s="4">
        <v>2024</v>
      </c>
      <c r="G270" s="4" t="s">
        <v>32</v>
      </c>
      <c r="H270" s="4" t="s">
        <v>47</v>
      </c>
      <c r="I270" s="4" t="s">
        <v>109</v>
      </c>
      <c r="J270" s="4" t="s">
        <v>111</v>
      </c>
      <c r="K270" s="4" t="s">
        <v>244</v>
      </c>
      <c r="L270" s="6" t="s">
        <v>48</v>
      </c>
      <c r="M270" s="4" t="s">
        <v>41</v>
      </c>
      <c r="N270" s="4" t="s">
        <v>53</v>
      </c>
      <c r="O270" s="4">
        <f t="shared" si="15"/>
        <v>16.004999999999999</v>
      </c>
      <c r="P270" s="4">
        <v>55</v>
      </c>
      <c r="S270" s="4">
        <v>29.1</v>
      </c>
    </row>
    <row r="271" spans="1:28" ht="42.45" hidden="1" x14ac:dyDescent="0.35">
      <c r="A271" s="4" t="s">
        <v>45</v>
      </c>
      <c r="C271" s="4">
        <v>1020</v>
      </c>
      <c r="D271" s="4">
        <v>2</v>
      </c>
      <c r="E271" s="12" t="s">
        <v>52</v>
      </c>
      <c r="F271" s="4">
        <v>2024</v>
      </c>
      <c r="G271" s="4" t="s">
        <v>32</v>
      </c>
      <c r="H271" s="4" t="s">
        <v>47</v>
      </c>
      <c r="I271" s="4" t="s">
        <v>109</v>
      </c>
      <c r="J271" s="4" t="s">
        <v>111</v>
      </c>
      <c r="K271" s="4" t="s">
        <v>244</v>
      </c>
      <c r="L271" s="6" t="s">
        <v>48</v>
      </c>
      <c r="M271" s="4" t="s">
        <v>41</v>
      </c>
      <c r="N271" s="4" t="s">
        <v>192</v>
      </c>
      <c r="O271" s="4">
        <f t="shared" si="15"/>
        <v>2.016</v>
      </c>
      <c r="P271" s="4">
        <v>42</v>
      </c>
      <c r="S271" s="4">
        <v>4.8</v>
      </c>
    </row>
    <row r="272" spans="1:28" ht="42.45" hidden="1" x14ac:dyDescent="0.35">
      <c r="A272" s="4" t="s">
        <v>45</v>
      </c>
      <c r="C272" s="4">
        <v>1130</v>
      </c>
      <c r="D272" s="4">
        <v>3</v>
      </c>
      <c r="E272" s="12" t="s">
        <v>46</v>
      </c>
      <c r="F272" s="4">
        <v>2023</v>
      </c>
      <c r="G272" s="4" t="s">
        <v>32</v>
      </c>
      <c r="H272" s="4" t="s">
        <v>50</v>
      </c>
      <c r="I272" s="4" t="s">
        <v>112</v>
      </c>
      <c r="J272" s="4" t="s">
        <v>113</v>
      </c>
      <c r="K272" s="4" t="s">
        <v>244</v>
      </c>
      <c r="L272" s="6" t="s">
        <v>48</v>
      </c>
      <c r="M272" s="4" t="s">
        <v>41</v>
      </c>
      <c r="N272" s="4" t="s">
        <v>49</v>
      </c>
      <c r="O272" s="4">
        <f t="shared" si="15"/>
        <v>0</v>
      </c>
      <c r="P272" s="4">
        <v>0</v>
      </c>
      <c r="S272" s="4">
        <v>13.8</v>
      </c>
    </row>
    <row r="273" spans="1:28" ht="42.45" hidden="1" x14ac:dyDescent="0.35">
      <c r="A273" s="4" t="s">
        <v>45</v>
      </c>
      <c r="C273" s="4">
        <v>1130</v>
      </c>
      <c r="D273" s="4">
        <v>3</v>
      </c>
      <c r="E273" s="12" t="s">
        <v>46</v>
      </c>
      <c r="F273" s="4">
        <v>2023</v>
      </c>
      <c r="G273" s="4" t="s">
        <v>32</v>
      </c>
      <c r="H273" s="4" t="s">
        <v>47</v>
      </c>
      <c r="I273" s="4" t="s">
        <v>112</v>
      </c>
      <c r="J273" s="4" t="s">
        <v>113</v>
      </c>
      <c r="K273" s="4" t="s">
        <v>244</v>
      </c>
      <c r="L273" s="6" t="s">
        <v>48</v>
      </c>
      <c r="M273" s="4" t="s">
        <v>37</v>
      </c>
      <c r="N273" s="4" t="s">
        <v>192</v>
      </c>
      <c r="O273" s="4">
        <f t="shared" si="15"/>
        <v>0</v>
      </c>
      <c r="P273" s="4">
        <v>0</v>
      </c>
      <c r="S273" s="4">
        <v>0</v>
      </c>
      <c r="W273" s="4">
        <v>51</v>
      </c>
    </row>
    <row r="274" spans="1:28" ht="42.45" hidden="1" x14ac:dyDescent="0.35">
      <c r="A274" s="4" t="s">
        <v>45</v>
      </c>
      <c r="C274" s="4">
        <v>1010</v>
      </c>
      <c r="D274" s="4">
        <v>6</v>
      </c>
      <c r="E274" s="12" t="s">
        <v>40</v>
      </c>
      <c r="F274" s="4">
        <v>2024</v>
      </c>
      <c r="G274" s="4" t="s">
        <v>32</v>
      </c>
      <c r="H274" s="4" t="s">
        <v>50</v>
      </c>
      <c r="I274" s="4" t="s">
        <v>73</v>
      </c>
      <c r="J274" s="4" t="s">
        <v>76</v>
      </c>
      <c r="K274" s="4" t="s">
        <v>244</v>
      </c>
      <c r="L274" s="6" t="s">
        <v>48</v>
      </c>
      <c r="M274" s="4" t="s">
        <v>41</v>
      </c>
      <c r="N274" s="4" t="s">
        <v>42</v>
      </c>
      <c r="O274" s="4">
        <v>9</v>
      </c>
      <c r="P274" s="4">
        <v>34</v>
      </c>
      <c r="U274" s="4">
        <v>30.9</v>
      </c>
      <c r="AA274" s="10">
        <v>44977</v>
      </c>
      <c r="AB274" s="4">
        <v>1783</v>
      </c>
    </row>
    <row r="275" spans="1:28" ht="42.45" hidden="1" x14ac:dyDescent="0.35">
      <c r="A275" s="4" t="s">
        <v>45</v>
      </c>
      <c r="C275" s="4">
        <v>1010</v>
      </c>
      <c r="D275" s="4">
        <v>6</v>
      </c>
      <c r="E275" s="12" t="s">
        <v>40</v>
      </c>
      <c r="F275" s="4">
        <v>2024</v>
      </c>
      <c r="G275" s="4" t="s">
        <v>32</v>
      </c>
      <c r="H275" s="4" t="s">
        <v>50</v>
      </c>
      <c r="I275" s="4" t="s">
        <v>73</v>
      </c>
      <c r="J275" s="4" t="s">
        <v>76</v>
      </c>
      <c r="K275" s="4" t="s">
        <v>244</v>
      </c>
      <c r="L275" s="6" t="s">
        <v>48</v>
      </c>
      <c r="M275" s="4" t="s">
        <v>41</v>
      </c>
      <c r="N275" s="4" t="s">
        <v>192</v>
      </c>
      <c r="O275" s="4">
        <v>2</v>
      </c>
      <c r="P275" s="4">
        <v>39</v>
      </c>
      <c r="T275" s="4">
        <v>17.7</v>
      </c>
      <c r="U275" s="4">
        <v>17.7</v>
      </c>
      <c r="AA275" s="10">
        <v>44977</v>
      </c>
      <c r="AB275" s="4">
        <v>1783</v>
      </c>
    </row>
    <row r="276" spans="1:28" ht="42.45" hidden="1" x14ac:dyDescent="0.35">
      <c r="A276" s="4" t="s">
        <v>45</v>
      </c>
      <c r="C276" s="4">
        <v>1030</v>
      </c>
      <c r="D276" s="4">
        <v>1</v>
      </c>
      <c r="E276" s="12" t="s">
        <v>22</v>
      </c>
      <c r="F276" s="4">
        <v>2022</v>
      </c>
      <c r="G276" s="4" t="s">
        <v>32</v>
      </c>
      <c r="H276" s="4" t="s">
        <v>55</v>
      </c>
      <c r="I276" s="4" t="s">
        <v>109</v>
      </c>
      <c r="J276" s="4" t="s">
        <v>110</v>
      </c>
      <c r="K276" s="4" t="s">
        <v>244</v>
      </c>
      <c r="L276" s="6" t="s">
        <v>48</v>
      </c>
      <c r="M276" s="4" t="s">
        <v>37</v>
      </c>
      <c r="N276" s="4" t="s">
        <v>51</v>
      </c>
      <c r="O276" s="4">
        <f>P276*T276/100</f>
        <v>15.99</v>
      </c>
      <c r="P276" s="4">
        <v>39</v>
      </c>
      <c r="T276" s="4">
        <v>41</v>
      </c>
    </row>
    <row r="277" spans="1:28" ht="42.45" hidden="1" x14ac:dyDescent="0.35">
      <c r="A277" s="4" t="s">
        <v>45</v>
      </c>
      <c r="C277" s="4">
        <v>1030</v>
      </c>
      <c r="D277" s="4">
        <v>1</v>
      </c>
      <c r="E277" s="12" t="s">
        <v>22</v>
      </c>
      <c r="F277" s="4">
        <v>2022</v>
      </c>
      <c r="G277" s="4" t="s">
        <v>32</v>
      </c>
      <c r="H277" s="4" t="s">
        <v>55</v>
      </c>
      <c r="I277" s="4" t="s">
        <v>109</v>
      </c>
      <c r="J277" s="4" t="s">
        <v>110</v>
      </c>
      <c r="K277" s="4" t="s">
        <v>244</v>
      </c>
      <c r="L277" s="6" t="s">
        <v>48</v>
      </c>
      <c r="M277" s="4" t="s">
        <v>37</v>
      </c>
      <c r="N277" s="4" t="s">
        <v>192</v>
      </c>
      <c r="O277" s="4">
        <f>P277*T277/100</f>
        <v>3.0030000000000001</v>
      </c>
      <c r="P277" s="4">
        <v>33</v>
      </c>
      <c r="S277" s="4">
        <v>72</v>
      </c>
      <c r="T277" s="4">
        <v>9.1</v>
      </c>
    </row>
    <row r="278" spans="1:28" hidden="1" x14ac:dyDescent="0.35">
      <c r="A278" s="4" t="s">
        <v>45</v>
      </c>
      <c r="C278" s="4">
        <v>1030</v>
      </c>
      <c r="D278" s="4">
        <v>1</v>
      </c>
      <c r="E278" s="12" t="s">
        <v>22</v>
      </c>
      <c r="F278" s="4">
        <v>2022</v>
      </c>
      <c r="G278" s="4" t="s">
        <v>32</v>
      </c>
      <c r="H278" s="4" t="s">
        <v>114</v>
      </c>
      <c r="I278" s="4" t="s">
        <v>88</v>
      </c>
      <c r="K278" s="4" t="s">
        <v>244</v>
      </c>
      <c r="L278" s="4" t="s">
        <v>91</v>
      </c>
      <c r="M278" s="4" t="s">
        <v>37</v>
      </c>
      <c r="N278" s="4" t="s">
        <v>51</v>
      </c>
      <c r="O278" s="4">
        <v>163</v>
      </c>
      <c r="P278" s="4">
        <v>176</v>
      </c>
    </row>
    <row r="279" spans="1:28" hidden="1" x14ac:dyDescent="0.35">
      <c r="A279" s="4" t="s">
        <v>45</v>
      </c>
      <c r="C279" s="4">
        <v>1030</v>
      </c>
      <c r="D279" s="4">
        <v>1</v>
      </c>
      <c r="E279" s="12" t="s">
        <v>22</v>
      </c>
      <c r="F279" s="4">
        <v>2022</v>
      </c>
      <c r="G279" s="4" t="s">
        <v>32</v>
      </c>
      <c r="H279" s="4" t="s">
        <v>114</v>
      </c>
      <c r="I279" s="4" t="s">
        <v>88</v>
      </c>
      <c r="K279" s="4" t="s">
        <v>244</v>
      </c>
      <c r="L279" s="4" t="s">
        <v>91</v>
      </c>
      <c r="M279" s="4" t="s">
        <v>37</v>
      </c>
      <c r="N279" s="4" t="s">
        <v>192</v>
      </c>
      <c r="O279" s="4">
        <v>171</v>
      </c>
      <c r="P279" s="4">
        <v>176</v>
      </c>
    </row>
    <row r="280" spans="1:28" hidden="1" x14ac:dyDescent="0.35">
      <c r="A280" s="4" t="s">
        <v>45</v>
      </c>
      <c r="C280" s="4">
        <v>1030</v>
      </c>
      <c r="D280" s="4">
        <v>1</v>
      </c>
      <c r="E280" s="12" t="s">
        <v>22</v>
      </c>
      <c r="F280" s="4">
        <v>2022</v>
      </c>
      <c r="G280" s="4" t="s">
        <v>32</v>
      </c>
      <c r="H280" s="4" t="s">
        <v>87</v>
      </c>
      <c r="I280" s="4" t="s">
        <v>115</v>
      </c>
      <c r="J280" s="4" t="s">
        <v>35</v>
      </c>
      <c r="K280" s="4" t="s">
        <v>244</v>
      </c>
      <c r="L280" s="4" t="s">
        <v>91</v>
      </c>
      <c r="M280" s="4" t="s">
        <v>37</v>
      </c>
      <c r="N280" s="4" t="s">
        <v>51</v>
      </c>
      <c r="O280" s="4">
        <v>18</v>
      </c>
      <c r="P280" s="4">
        <v>176</v>
      </c>
    </row>
    <row r="281" spans="1:28" hidden="1" x14ac:dyDescent="0.35">
      <c r="A281" s="4" t="s">
        <v>45</v>
      </c>
      <c r="C281" s="4">
        <v>1030</v>
      </c>
      <c r="D281" s="4">
        <v>1</v>
      </c>
      <c r="E281" s="12" t="s">
        <v>22</v>
      </c>
      <c r="F281" s="4">
        <v>2022</v>
      </c>
      <c r="G281" s="4" t="s">
        <v>32</v>
      </c>
      <c r="H281" s="4" t="s">
        <v>87</v>
      </c>
      <c r="I281" s="4" t="s">
        <v>115</v>
      </c>
      <c r="J281" s="4" t="s">
        <v>35</v>
      </c>
      <c r="K281" s="4" t="s">
        <v>244</v>
      </c>
      <c r="L281" s="4" t="s">
        <v>91</v>
      </c>
      <c r="M281" s="4" t="s">
        <v>37</v>
      </c>
      <c r="N281" s="4" t="s">
        <v>192</v>
      </c>
      <c r="O281" s="4">
        <v>20</v>
      </c>
      <c r="P281" s="4">
        <v>176</v>
      </c>
    </row>
    <row r="282" spans="1:28" hidden="1" x14ac:dyDescent="0.35">
      <c r="A282" s="4" t="s">
        <v>45</v>
      </c>
      <c r="C282" s="4">
        <v>1030</v>
      </c>
      <c r="D282" s="4">
        <v>1</v>
      </c>
      <c r="E282" s="12" t="s">
        <v>22</v>
      </c>
      <c r="F282" s="4">
        <v>2022</v>
      </c>
      <c r="G282" s="4" t="s">
        <v>32</v>
      </c>
      <c r="H282" s="4" t="s">
        <v>87</v>
      </c>
      <c r="I282" s="4" t="s">
        <v>115</v>
      </c>
      <c r="J282" s="4" t="s">
        <v>35</v>
      </c>
      <c r="K282" s="4" t="s">
        <v>244</v>
      </c>
      <c r="L282" s="4" t="s">
        <v>89</v>
      </c>
      <c r="M282" s="4" t="s">
        <v>37</v>
      </c>
      <c r="N282" s="4" t="s">
        <v>51</v>
      </c>
      <c r="O282" s="4">
        <v>10</v>
      </c>
      <c r="P282" s="4">
        <v>176</v>
      </c>
    </row>
    <row r="283" spans="1:28" hidden="1" x14ac:dyDescent="0.35">
      <c r="A283" s="4" t="s">
        <v>45</v>
      </c>
      <c r="C283" s="4">
        <v>1030</v>
      </c>
      <c r="D283" s="4">
        <v>1</v>
      </c>
      <c r="E283" s="12" t="s">
        <v>22</v>
      </c>
      <c r="F283" s="4">
        <v>2022</v>
      </c>
      <c r="G283" s="4" t="s">
        <v>32</v>
      </c>
      <c r="H283" s="4" t="s">
        <v>87</v>
      </c>
      <c r="I283" s="4" t="s">
        <v>115</v>
      </c>
      <c r="J283" s="4" t="s">
        <v>35</v>
      </c>
      <c r="K283" s="4" t="s">
        <v>244</v>
      </c>
      <c r="L283" s="4" t="s">
        <v>89</v>
      </c>
      <c r="M283" s="4" t="s">
        <v>37</v>
      </c>
      <c r="N283" s="4" t="s">
        <v>192</v>
      </c>
      <c r="O283" s="4">
        <v>7</v>
      </c>
      <c r="P283" s="4">
        <v>176</v>
      </c>
    </row>
    <row r="284" spans="1:28" hidden="1" x14ac:dyDescent="0.35">
      <c r="A284" s="4" t="s">
        <v>45</v>
      </c>
      <c r="C284" s="4">
        <v>1030</v>
      </c>
      <c r="D284" s="4">
        <v>1</v>
      </c>
      <c r="E284" s="12" t="s">
        <v>22</v>
      </c>
      <c r="F284" s="4">
        <v>2022</v>
      </c>
      <c r="G284" s="4" t="s">
        <v>32</v>
      </c>
      <c r="H284" s="4" t="s">
        <v>87</v>
      </c>
      <c r="I284" s="4" t="s">
        <v>116</v>
      </c>
      <c r="J284" s="4" t="s">
        <v>35</v>
      </c>
      <c r="K284" s="4" t="s">
        <v>244</v>
      </c>
      <c r="L284" s="4" t="s">
        <v>91</v>
      </c>
      <c r="M284" s="4" t="s">
        <v>37</v>
      </c>
      <c r="N284" s="4" t="s">
        <v>51</v>
      </c>
      <c r="O284" s="4">
        <v>30</v>
      </c>
      <c r="P284" s="4">
        <v>176</v>
      </c>
    </row>
    <row r="285" spans="1:28" hidden="1" x14ac:dyDescent="0.35">
      <c r="A285" s="4" t="s">
        <v>45</v>
      </c>
      <c r="C285" s="4">
        <v>1030</v>
      </c>
      <c r="D285" s="4">
        <v>1</v>
      </c>
      <c r="E285" s="12" t="s">
        <v>22</v>
      </c>
      <c r="F285" s="4">
        <v>2022</v>
      </c>
      <c r="G285" s="4" t="s">
        <v>32</v>
      </c>
      <c r="H285" s="4" t="s">
        <v>87</v>
      </c>
      <c r="I285" s="4" t="s">
        <v>116</v>
      </c>
      <c r="J285" s="4" t="s">
        <v>35</v>
      </c>
      <c r="K285" s="4" t="s">
        <v>244</v>
      </c>
      <c r="L285" s="4" t="s">
        <v>91</v>
      </c>
      <c r="M285" s="4" t="s">
        <v>37</v>
      </c>
      <c r="N285" s="4" t="s">
        <v>192</v>
      </c>
      <c r="O285" s="4">
        <v>24</v>
      </c>
      <c r="P285" s="4">
        <v>176</v>
      </c>
    </row>
    <row r="286" spans="1:28" hidden="1" x14ac:dyDescent="0.35">
      <c r="A286" s="4" t="s">
        <v>45</v>
      </c>
      <c r="C286" s="4">
        <v>1030</v>
      </c>
      <c r="D286" s="4">
        <v>1</v>
      </c>
      <c r="E286" s="12" t="s">
        <v>22</v>
      </c>
      <c r="F286" s="4">
        <v>2022</v>
      </c>
      <c r="G286" s="4" t="s">
        <v>32</v>
      </c>
      <c r="H286" s="4" t="s">
        <v>87</v>
      </c>
      <c r="I286" s="4" t="s">
        <v>116</v>
      </c>
      <c r="J286" s="4" t="s">
        <v>35</v>
      </c>
      <c r="K286" s="4" t="s">
        <v>244</v>
      </c>
      <c r="L286" s="4" t="s">
        <v>89</v>
      </c>
      <c r="M286" s="4" t="s">
        <v>37</v>
      </c>
      <c r="N286" s="4" t="s">
        <v>51</v>
      </c>
      <c r="O286" s="4">
        <v>19</v>
      </c>
      <c r="P286" s="4">
        <v>176</v>
      </c>
    </row>
    <row r="287" spans="1:28" hidden="1" x14ac:dyDescent="0.35">
      <c r="A287" s="4" t="s">
        <v>45</v>
      </c>
      <c r="C287" s="4">
        <v>1030</v>
      </c>
      <c r="D287" s="4">
        <v>1</v>
      </c>
      <c r="E287" s="12" t="s">
        <v>22</v>
      </c>
      <c r="F287" s="4">
        <v>2022</v>
      </c>
      <c r="G287" s="4" t="s">
        <v>32</v>
      </c>
      <c r="H287" s="4" t="s">
        <v>87</v>
      </c>
      <c r="I287" s="4" t="s">
        <v>116</v>
      </c>
      <c r="J287" s="4" t="s">
        <v>35</v>
      </c>
      <c r="K287" s="4" t="s">
        <v>244</v>
      </c>
      <c r="L287" s="4" t="s">
        <v>89</v>
      </c>
      <c r="M287" s="4" t="s">
        <v>37</v>
      </c>
      <c r="N287" s="4" t="s">
        <v>192</v>
      </c>
      <c r="O287" s="4">
        <v>17</v>
      </c>
      <c r="P287" s="4">
        <v>176</v>
      </c>
    </row>
    <row r="288" spans="1:28" hidden="1" x14ac:dyDescent="0.35">
      <c r="A288" s="4" t="s">
        <v>45</v>
      </c>
      <c r="C288" s="4">
        <v>1030</v>
      </c>
      <c r="D288" s="4">
        <v>1</v>
      </c>
      <c r="E288" s="12" t="s">
        <v>22</v>
      </c>
      <c r="F288" s="4">
        <v>2022</v>
      </c>
      <c r="G288" s="4" t="s">
        <v>32</v>
      </c>
      <c r="H288" s="4" t="s">
        <v>117</v>
      </c>
      <c r="I288" s="4" t="s">
        <v>88</v>
      </c>
      <c r="J288" s="4" t="s">
        <v>35</v>
      </c>
      <c r="K288" s="4" t="s">
        <v>244</v>
      </c>
      <c r="L288" s="4" t="s">
        <v>91</v>
      </c>
      <c r="M288" s="4" t="s">
        <v>37</v>
      </c>
      <c r="N288" s="4" t="s">
        <v>51</v>
      </c>
      <c r="O288" s="4">
        <v>145</v>
      </c>
      <c r="P288" s="4">
        <v>176</v>
      </c>
    </row>
    <row r="289" spans="1:16" hidden="1" x14ac:dyDescent="0.35">
      <c r="A289" s="4" t="s">
        <v>45</v>
      </c>
      <c r="C289" s="4">
        <v>1030</v>
      </c>
      <c r="D289" s="4">
        <v>1</v>
      </c>
      <c r="E289" s="12" t="s">
        <v>22</v>
      </c>
      <c r="F289" s="4">
        <v>2022</v>
      </c>
      <c r="G289" s="4" t="s">
        <v>32</v>
      </c>
      <c r="H289" s="4" t="s">
        <v>33</v>
      </c>
      <c r="I289" s="4" t="s">
        <v>88</v>
      </c>
      <c r="J289" s="4" t="s">
        <v>35</v>
      </c>
      <c r="K289" s="4" t="s">
        <v>244</v>
      </c>
      <c r="L289" s="4" t="s">
        <v>91</v>
      </c>
      <c r="M289" s="4" t="s">
        <v>37</v>
      </c>
      <c r="N289" s="4" t="s">
        <v>192</v>
      </c>
      <c r="O289" s="4">
        <v>156</v>
      </c>
      <c r="P289" s="4">
        <v>176</v>
      </c>
    </row>
    <row r="290" spans="1:16" hidden="1" x14ac:dyDescent="0.35">
      <c r="A290" s="4" t="s">
        <v>45</v>
      </c>
      <c r="C290" s="4">
        <v>1030</v>
      </c>
      <c r="D290" s="4">
        <v>1</v>
      </c>
      <c r="E290" s="12" t="s">
        <v>22</v>
      </c>
      <c r="F290" s="4">
        <v>2022</v>
      </c>
      <c r="G290" s="4" t="s">
        <v>32</v>
      </c>
      <c r="H290" s="4" t="s">
        <v>33</v>
      </c>
      <c r="I290" s="4" t="s">
        <v>88</v>
      </c>
      <c r="J290" s="4" t="s">
        <v>35</v>
      </c>
      <c r="K290" s="4" t="s">
        <v>244</v>
      </c>
      <c r="L290" s="4" t="s">
        <v>89</v>
      </c>
      <c r="M290" s="4" t="s">
        <v>37</v>
      </c>
      <c r="N290" s="4" t="s">
        <v>51</v>
      </c>
      <c r="O290" s="4">
        <v>59</v>
      </c>
      <c r="P290" s="4">
        <v>176</v>
      </c>
    </row>
    <row r="291" spans="1:16" hidden="1" x14ac:dyDescent="0.35">
      <c r="A291" s="4" t="s">
        <v>45</v>
      </c>
      <c r="C291" s="4">
        <v>1030</v>
      </c>
      <c r="D291" s="4">
        <v>1</v>
      </c>
      <c r="E291" s="12" t="s">
        <v>22</v>
      </c>
      <c r="F291" s="4">
        <v>2022</v>
      </c>
      <c r="G291" s="4" t="s">
        <v>32</v>
      </c>
      <c r="H291" s="4" t="s">
        <v>33</v>
      </c>
      <c r="I291" s="4" t="s">
        <v>88</v>
      </c>
      <c r="J291" s="4" t="s">
        <v>35</v>
      </c>
      <c r="K291" s="4" t="s">
        <v>244</v>
      </c>
      <c r="L291" s="4" t="s">
        <v>89</v>
      </c>
      <c r="M291" s="4" t="s">
        <v>37</v>
      </c>
      <c r="N291" s="4" t="s">
        <v>192</v>
      </c>
      <c r="O291" s="4">
        <v>65</v>
      </c>
      <c r="P291" s="4">
        <v>176</v>
      </c>
    </row>
    <row r="292" spans="1:16" hidden="1" x14ac:dyDescent="0.35">
      <c r="A292" s="4" t="s">
        <v>45</v>
      </c>
      <c r="C292" s="4">
        <v>1030</v>
      </c>
      <c r="D292" s="4">
        <v>1</v>
      </c>
      <c r="E292" s="12" t="s">
        <v>22</v>
      </c>
      <c r="F292" s="4">
        <v>2022</v>
      </c>
      <c r="G292" s="4" t="s">
        <v>32</v>
      </c>
      <c r="H292" s="4" t="s">
        <v>33</v>
      </c>
      <c r="I292" s="4" t="s">
        <v>118</v>
      </c>
      <c r="J292" s="4" t="s">
        <v>35</v>
      </c>
      <c r="K292" s="4" t="s">
        <v>244</v>
      </c>
      <c r="L292" s="4" t="s">
        <v>91</v>
      </c>
      <c r="M292" s="4" t="s">
        <v>37</v>
      </c>
      <c r="N292" s="4" t="s">
        <v>51</v>
      </c>
      <c r="O292" s="4">
        <v>18</v>
      </c>
      <c r="P292" s="4">
        <v>176</v>
      </c>
    </row>
    <row r="293" spans="1:16" hidden="1" x14ac:dyDescent="0.35">
      <c r="A293" s="4" t="s">
        <v>45</v>
      </c>
      <c r="C293" s="4">
        <v>1030</v>
      </c>
      <c r="D293" s="4">
        <v>1</v>
      </c>
      <c r="E293" s="12" t="s">
        <v>22</v>
      </c>
      <c r="F293" s="4">
        <v>2022</v>
      </c>
      <c r="G293" s="4" t="s">
        <v>32</v>
      </c>
      <c r="H293" s="4" t="s">
        <v>33</v>
      </c>
      <c r="I293" s="4" t="s">
        <v>118</v>
      </c>
      <c r="J293" s="4" t="s">
        <v>35</v>
      </c>
      <c r="K293" s="4" t="s">
        <v>244</v>
      </c>
      <c r="L293" s="4" t="s">
        <v>91</v>
      </c>
      <c r="M293" s="4" t="s">
        <v>37</v>
      </c>
      <c r="N293" s="4" t="s">
        <v>192</v>
      </c>
      <c r="O293" s="4">
        <v>17</v>
      </c>
      <c r="P293" s="4">
        <v>176</v>
      </c>
    </row>
    <row r="294" spans="1:16" hidden="1" x14ac:dyDescent="0.35">
      <c r="A294" s="4" t="s">
        <v>45</v>
      </c>
      <c r="C294" s="4">
        <v>1030</v>
      </c>
      <c r="D294" s="4">
        <v>1</v>
      </c>
      <c r="E294" s="12" t="s">
        <v>22</v>
      </c>
      <c r="F294" s="4">
        <v>2022</v>
      </c>
      <c r="G294" s="4" t="s">
        <v>32</v>
      </c>
      <c r="H294" s="4" t="s">
        <v>33</v>
      </c>
      <c r="I294" s="4" t="s">
        <v>118</v>
      </c>
      <c r="J294" s="4" t="s">
        <v>35</v>
      </c>
      <c r="K294" s="4" t="s">
        <v>244</v>
      </c>
      <c r="L294" s="4" t="s">
        <v>89</v>
      </c>
      <c r="M294" s="4" t="s">
        <v>37</v>
      </c>
      <c r="N294" s="4" t="s">
        <v>51</v>
      </c>
      <c r="O294" s="4">
        <v>10</v>
      </c>
      <c r="P294" s="4">
        <v>176</v>
      </c>
    </row>
    <row r="295" spans="1:16" hidden="1" x14ac:dyDescent="0.35">
      <c r="A295" s="4" t="s">
        <v>45</v>
      </c>
      <c r="C295" s="4">
        <v>1030</v>
      </c>
      <c r="D295" s="4">
        <v>1</v>
      </c>
      <c r="E295" s="12" t="s">
        <v>22</v>
      </c>
      <c r="F295" s="4">
        <v>2022</v>
      </c>
      <c r="G295" s="4" t="s">
        <v>32</v>
      </c>
      <c r="H295" s="4" t="s">
        <v>33</v>
      </c>
      <c r="I295" s="4" t="s">
        <v>118</v>
      </c>
      <c r="J295" s="4" t="s">
        <v>35</v>
      </c>
      <c r="K295" s="4" t="s">
        <v>244</v>
      </c>
      <c r="L295" s="4" t="s">
        <v>89</v>
      </c>
      <c r="M295" s="4" t="s">
        <v>37</v>
      </c>
      <c r="N295" s="4" t="s">
        <v>192</v>
      </c>
      <c r="O295" s="4">
        <v>6</v>
      </c>
      <c r="P295" s="4">
        <v>176</v>
      </c>
    </row>
    <row r="296" spans="1:16" hidden="1" x14ac:dyDescent="0.35">
      <c r="A296" s="4" t="s">
        <v>45</v>
      </c>
      <c r="C296" s="4">
        <v>1030</v>
      </c>
      <c r="D296" s="4">
        <v>1</v>
      </c>
      <c r="E296" s="12" t="s">
        <v>22</v>
      </c>
      <c r="F296" s="4">
        <v>2022</v>
      </c>
      <c r="G296" s="4" t="s">
        <v>32</v>
      </c>
      <c r="H296" s="4" t="s">
        <v>33</v>
      </c>
      <c r="I296" s="4" t="s">
        <v>116</v>
      </c>
      <c r="J296" s="4" t="s">
        <v>35</v>
      </c>
      <c r="K296" s="4" t="s">
        <v>244</v>
      </c>
      <c r="L296" s="4" t="s">
        <v>91</v>
      </c>
      <c r="M296" s="4" t="s">
        <v>37</v>
      </c>
      <c r="N296" s="4" t="s">
        <v>51</v>
      </c>
      <c r="O296" s="4">
        <v>21</v>
      </c>
      <c r="P296" s="4">
        <v>176</v>
      </c>
    </row>
    <row r="297" spans="1:16" hidden="1" x14ac:dyDescent="0.35">
      <c r="A297" s="4" t="s">
        <v>45</v>
      </c>
      <c r="C297" s="4">
        <v>1030</v>
      </c>
      <c r="D297" s="4">
        <v>1</v>
      </c>
      <c r="E297" s="12" t="s">
        <v>22</v>
      </c>
      <c r="F297" s="4">
        <v>2022</v>
      </c>
      <c r="G297" s="4" t="s">
        <v>32</v>
      </c>
      <c r="H297" s="4" t="s">
        <v>33</v>
      </c>
      <c r="I297" s="4" t="s">
        <v>116</v>
      </c>
      <c r="J297" s="4" t="s">
        <v>35</v>
      </c>
      <c r="K297" s="4" t="s">
        <v>244</v>
      </c>
      <c r="L297" s="4" t="s">
        <v>91</v>
      </c>
      <c r="M297" s="4" t="s">
        <v>37</v>
      </c>
      <c r="N297" s="4" t="s">
        <v>192</v>
      </c>
      <c r="O297" s="4">
        <v>18</v>
      </c>
      <c r="P297" s="4">
        <v>176</v>
      </c>
    </row>
    <row r="298" spans="1:16" hidden="1" x14ac:dyDescent="0.35">
      <c r="A298" s="4" t="s">
        <v>45</v>
      </c>
      <c r="C298" s="4">
        <v>1030</v>
      </c>
      <c r="D298" s="4">
        <v>1</v>
      </c>
      <c r="E298" s="12" t="s">
        <v>22</v>
      </c>
      <c r="F298" s="4">
        <v>2022</v>
      </c>
      <c r="G298" s="4" t="s">
        <v>32</v>
      </c>
      <c r="H298" s="4" t="s">
        <v>33</v>
      </c>
      <c r="I298" s="4" t="s">
        <v>116</v>
      </c>
      <c r="J298" s="4" t="s">
        <v>35</v>
      </c>
      <c r="K298" s="4" t="s">
        <v>244</v>
      </c>
      <c r="L298" s="4" t="s">
        <v>89</v>
      </c>
      <c r="M298" s="4" t="s">
        <v>37</v>
      </c>
      <c r="N298" s="4" t="s">
        <v>51</v>
      </c>
      <c r="O298" s="4">
        <v>15</v>
      </c>
      <c r="P298" s="4">
        <v>176</v>
      </c>
    </row>
    <row r="299" spans="1:16" hidden="1" x14ac:dyDescent="0.35">
      <c r="A299" s="4" t="s">
        <v>45</v>
      </c>
      <c r="C299" s="4">
        <v>1030</v>
      </c>
      <c r="D299" s="4">
        <v>1</v>
      </c>
      <c r="E299" s="12" t="s">
        <v>22</v>
      </c>
      <c r="F299" s="4">
        <v>2022</v>
      </c>
      <c r="G299" s="4" t="s">
        <v>32</v>
      </c>
      <c r="H299" s="4" t="s">
        <v>33</v>
      </c>
      <c r="I299" s="4" t="s">
        <v>116</v>
      </c>
      <c r="J299" s="4" t="s">
        <v>35</v>
      </c>
      <c r="K299" s="4" t="s">
        <v>244</v>
      </c>
      <c r="L299" s="4" t="s">
        <v>89</v>
      </c>
      <c r="M299" s="4" t="s">
        <v>37</v>
      </c>
      <c r="N299" s="4" t="s">
        <v>192</v>
      </c>
      <c r="O299" s="4">
        <v>14</v>
      </c>
      <c r="P299" s="4">
        <v>176</v>
      </c>
    </row>
    <row r="300" spans="1:16" hidden="1" x14ac:dyDescent="0.35">
      <c r="A300" s="4" t="s">
        <v>45</v>
      </c>
      <c r="C300" s="4">
        <v>1030</v>
      </c>
      <c r="D300" s="4">
        <v>1</v>
      </c>
      <c r="E300" s="12" t="s">
        <v>22</v>
      </c>
      <c r="F300" s="4">
        <v>2022</v>
      </c>
      <c r="G300" s="4" t="s">
        <v>32</v>
      </c>
      <c r="H300" s="4" t="s">
        <v>33</v>
      </c>
      <c r="I300" s="4" t="s">
        <v>119</v>
      </c>
      <c r="J300" s="4" t="s">
        <v>35</v>
      </c>
      <c r="K300" s="4" t="s">
        <v>244</v>
      </c>
      <c r="L300" s="4" t="s">
        <v>91</v>
      </c>
      <c r="M300" s="4" t="s">
        <v>37</v>
      </c>
      <c r="N300" s="4" t="s">
        <v>51</v>
      </c>
      <c r="O300" s="4">
        <v>0</v>
      </c>
      <c r="P300" s="4">
        <v>176</v>
      </c>
    </row>
    <row r="301" spans="1:16" hidden="1" x14ac:dyDescent="0.35">
      <c r="A301" s="4" t="s">
        <v>45</v>
      </c>
      <c r="C301" s="4">
        <v>1030</v>
      </c>
      <c r="D301" s="4">
        <v>1</v>
      </c>
      <c r="E301" s="12" t="s">
        <v>22</v>
      </c>
      <c r="F301" s="4">
        <v>2022</v>
      </c>
      <c r="G301" s="4" t="s">
        <v>32</v>
      </c>
      <c r="H301" s="4" t="s">
        <v>33</v>
      </c>
      <c r="I301" s="4" t="s">
        <v>119</v>
      </c>
      <c r="J301" s="4" t="s">
        <v>35</v>
      </c>
      <c r="K301" s="4" t="s">
        <v>244</v>
      </c>
      <c r="L301" s="4" t="s">
        <v>91</v>
      </c>
      <c r="M301" s="4" t="s">
        <v>37</v>
      </c>
      <c r="N301" s="4" t="s">
        <v>192</v>
      </c>
      <c r="O301" s="4">
        <v>3</v>
      </c>
      <c r="P301" s="4">
        <v>176</v>
      </c>
    </row>
    <row r="302" spans="1:16" hidden="1" x14ac:dyDescent="0.35">
      <c r="A302" s="4" t="s">
        <v>45</v>
      </c>
      <c r="C302" s="4">
        <v>1030</v>
      </c>
      <c r="D302" s="4">
        <v>1</v>
      </c>
      <c r="E302" s="12" t="s">
        <v>22</v>
      </c>
      <c r="F302" s="4">
        <v>2022</v>
      </c>
      <c r="G302" s="4" t="s">
        <v>32</v>
      </c>
      <c r="H302" s="4" t="s">
        <v>120</v>
      </c>
      <c r="I302" s="4" t="s">
        <v>88</v>
      </c>
      <c r="K302" s="4" t="s">
        <v>244</v>
      </c>
      <c r="L302" s="4" t="s">
        <v>89</v>
      </c>
      <c r="M302" s="4" t="s">
        <v>37</v>
      </c>
      <c r="N302" s="4" t="s">
        <v>51</v>
      </c>
      <c r="O302" s="4">
        <v>62</v>
      </c>
      <c r="P302" s="4">
        <v>149</v>
      </c>
    </row>
    <row r="303" spans="1:16" hidden="1" x14ac:dyDescent="0.35">
      <c r="A303" s="4" t="s">
        <v>45</v>
      </c>
      <c r="C303" s="4">
        <v>1030</v>
      </c>
      <c r="D303" s="4">
        <v>1</v>
      </c>
      <c r="E303" s="12" t="s">
        <v>22</v>
      </c>
      <c r="F303" s="4">
        <v>2022</v>
      </c>
      <c r="G303" s="4" t="s">
        <v>32</v>
      </c>
      <c r="H303" s="4" t="s">
        <v>120</v>
      </c>
      <c r="I303" s="4" t="s">
        <v>88</v>
      </c>
      <c r="K303" s="4" t="s">
        <v>244</v>
      </c>
      <c r="L303" s="4" t="s">
        <v>89</v>
      </c>
      <c r="M303" s="4" t="s">
        <v>37</v>
      </c>
      <c r="N303" s="4" t="s">
        <v>192</v>
      </c>
      <c r="O303" s="4">
        <v>63</v>
      </c>
      <c r="P303" s="4">
        <v>135</v>
      </c>
    </row>
    <row r="304" spans="1:16" hidden="1" x14ac:dyDescent="0.35">
      <c r="A304" s="4" t="s">
        <v>45</v>
      </c>
      <c r="C304" s="4">
        <v>1030</v>
      </c>
      <c r="D304" s="4">
        <v>1</v>
      </c>
      <c r="E304" s="12" t="s">
        <v>22</v>
      </c>
      <c r="F304" s="4">
        <v>2022</v>
      </c>
      <c r="G304" s="4" t="s">
        <v>32</v>
      </c>
      <c r="H304" s="4" t="s">
        <v>120</v>
      </c>
      <c r="I304" s="4" t="s">
        <v>88</v>
      </c>
      <c r="K304" s="4" t="s">
        <v>244</v>
      </c>
      <c r="L304" s="4" t="s">
        <v>91</v>
      </c>
      <c r="M304" s="4" t="s">
        <v>37</v>
      </c>
      <c r="N304" s="4" t="s">
        <v>51</v>
      </c>
      <c r="O304" s="4">
        <v>17</v>
      </c>
      <c r="P304" s="4">
        <v>149</v>
      </c>
    </row>
    <row r="305" spans="1:16" hidden="1" x14ac:dyDescent="0.35">
      <c r="A305" s="4" t="s">
        <v>45</v>
      </c>
      <c r="C305" s="4">
        <v>1030</v>
      </c>
      <c r="D305" s="4">
        <v>1</v>
      </c>
      <c r="E305" s="12" t="s">
        <v>22</v>
      </c>
      <c r="F305" s="4">
        <v>2022</v>
      </c>
      <c r="G305" s="4" t="s">
        <v>32</v>
      </c>
      <c r="H305" s="4" t="s">
        <v>120</v>
      </c>
      <c r="I305" s="4" t="s">
        <v>88</v>
      </c>
      <c r="K305" s="4" t="s">
        <v>244</v>
      </c>
      <c r="L305" s="4" t="s">
        <v>91</v>
      </c>
      <c r="M305" s="4" t="s">
        <v>37</v>
      </c>
      <c r="N305" s="4" t="s">
        <v>192</v>
      </c>
      <c r="O305" s="4">
        <v>20</v>
      </c>
      <c r="P305" s="4">
        <v>135</v>
      </c>
    </row>
    <row r="306" spans="1:16" hidden="1" x14ac:dyDescent="0.35">
      <c r="A306" s="4" t="s">
        <v>45</v>
      </c>
      <c r="C306" s="4">
        <v>1020</v>
      </c>
      <c r="D306" s="4">
        <v>2</v>
      </c>
      <c r="E306" s="12" t="s">
        <v>52</v>
      </c>
      <c r="F306" s="4">
        <v>2024</v>
      </c>
      <c r="G306" s="4" t="s">
        <v>32</v>
      </c>
      <c r="H306" s="4" t="s">
        <v>121</v>
      </c>
      <c r="I306" s="4" t="s">
        <v>122</v>
      </c>
      <c r="J306" s="4" t="s">
        <v>35</v>
      </c>
      <c r="K306" s="4" t="s">
        <v>244</v>
      </c>
      <c r="L306" s="4" t="s">
        <v>91</v>
      </c>
      <c r="M306" s="4" t="s">
        <v>41</v>
      </c>
      <c r="N306" s="4" t="s">
        <v>53</v>
      </c>
      <c r="O306" s="4">
        <v>56</v>
      </c>
      <c r="P306" s="4">
        <v>229</v>
      </c>
    </row>
    <row r="307" spans="1:16" hidden="1" x14ac:dyDescent="0.35">
      <c r="A307" s="4" t="s">
        <v>45</v>
      </c>
      <c r="C307" s="4">
        <v>1020</v>
      </c>
      <c r="D307" s="4">
        <v>2</v>
      </c>
      <c r="E307" s="12" t="s">
        <v>52</v>
      </c>
      <c r="F307" s="4">
        <v>2024</v>
      </c>
      <c r="G307" s="4" t="s">
        <v>32</v>
      </c>
      <c r="H307" s="4" t="s">
        <v>121</v>
      </c>
      <c r="I307" s="4" t="s">
        <v>122</v>
      </c>
      <c r="J307" s="4" t="s">
        <v>35</v>
      </c>
      <c r="K307" s="4" t="s">
        <v>244</v>
      </c>
      <c r="L307" s="4" t="s">
        <v>91</v>
      </c>
      <c r="M307" s="4" t="s">
        <v>41</v>
      </c>
      <c r="N307" s="4" t="s">
        <v>192</v>
      </c>
      <c r="O307" s="4">
        <v>25</v>
      </c>
      <c r="P307" s="4">
        <v>230</v>
      </c>
    </row>
    <row r="308" spans="1:16" hidden="1" x14ac:dyDescent="0.35">
      <c r="A308" s="4" t="s">
        <v>45</v>
      </c>
      <c r="C308" s="4">
        <v>1020</v>
      </c>
      <c r="D308" s="4">
        <v>2</v>
      </c>
      <c r="E308" s="12" t="s">
        <v>52</v>
      </c>
      <c r="F308" s="4">
        <v>2024</v>
      </c>
      <c r="G308" s="4" t="s">
        <v>32</v>
      </c>
      <c r="H308" s="4" t="s">
        <v>121</v>
      </c>
      <c r="I308" s="4" t="s">
        <v>122</v>
      </c>
      <c r="J308" s="4" t="s">
        <v>35</v>
      </c>
      <c r="K308" s="4" t="s">
        <v>244</v>
      </c>
      <c r="L308" s="4" t="s">
        <v>91</v>
      </c>
      <c r="M308" s="4" t="s">
        <v>123</v>
      </c>
      <c r="N308" s="4" t="s">
        <v>53</v>
      </c>
      <c r="O308" s="4">
        <v>30</v>
      </c>
      <c r="P308" s="4">
        <v>229</v>
      </c>
    </row>
    <row r="309" spans="1:16" hidden="1" x14ac:dyDescent="0.35">
      <c r="A309" s="4" t="s">
        <v>45</v>
      </c>
      <c r="C309" s="4">
        <v>1020</v>
      </c>
      <c r="D309" s="4">
        <v>2</v>
      </c>
      <c r="E309" s="12" t="s">
        <v>52</v>
      </c>
      <c r="F309" s="4">
        <v>2024</v>
      </c>
      <c r="G309" s="4" t="s">
        <v>32</v>
      </c>
      <c r="H309" s="4" t="s">
        <v>121</v>
      </c>
      <c r="I309" s="4" t="s">
        <v>122</v>
      </c>
      <c r="J309" s="4" t="s">
        <v>35</v>
      </c>
      <c r="K309" s="4" t="s">
        <v>244</v>
      </c>
      <c r="L309" s="4" t="s">
        <v>91</v>
      </c>
      <c r="M309" s="4" t="s">
        <v>123</v>
      </c>
      <c r="N309" s="4" t="s">
        <v>192</v>
      </c>
      <c r="O309" s="4">
        <v>16</v>
      </c>
      <c r="P309" s="4">
        <v>230</v>
      </c>
    </row>
    <row r="310" spans="1:16" hidden="1" x14ac:dyDescent="0.35">
      <c r="A310" s="4" t="s">
        <v>45</v>
      </c>
      <c r="C310" s="4">
        <v>1020</v>
      </c>
      <c r="D310" s="4">
        <v>2</v>
      </c>
      <c r="E310" s="12" t="s">
        <v>52</v>
      </c>
      <c r="F310" s="4">
        <v>2024</v>
      </c>
      <c r="G310" s="4" t="s">
        <v>32</v>
      </c>
      <c r="H310" s="4" t="s">
        <v>121</v>
      </c>
      <c r="I310" s="4" t="s">
        <v>122</v>
      </c>
      <c r="J310" s="4" t="s">
        <v>35</v>
      </c>
      <c r="K310" s="4" t="s">
        <v>244</v>
      </c>
      <c r="L310" s="4" t="s">
        <v>91</v>
      </c>
      <c r="M310" s="4" t="s">
        <v>124</v>
      </c>
      <c r="N310" s="4" t="s">
        <v>53</v>
      </c>
      <c r="O310" s="4">
        <v>20</v>
      </c>
      <c r="P310" s="4">
        <v>229</v>
      </c>
    </row>
    <row r="311" spans="1:16" hidden="1" x14ac:dyDescent="0.35">
      <c r="A311" s="4" t="s">
        <v>45</v>
      </c>
      <c r="C311" s="4">
        <v>1020</v>
      </c>
      <c r="D311" s="4">
        <v>2</v>
      </c>
      <c r="E311" s="12" t="s">
        <v>52</v>
      </c>
      <c r="F311" s="4">
        <v>2024</v>
      </c>
      <c r="G311" s="4" t="s">
        <v>32</v>
      </c>
      <c r="H311" s="4" t="s">
        <v>121</v>
      </c>
      <c r="I311" s="4" t="s">
        <v>122</v>
      </c>
      <c r="J311" s="4" t="s">
        <v>35</v>
      </c>
      <c r="K311" s="4" t="s">
        <v>244</v>
      </c>
      <c r="L311" s="4" t="s">
        <v>91</v>
      </c>
      <c r="M311" s="4" t="s">
        <v>124</v>
      </c>
      <c r="N311" s="4" t="s">
        <v>192</v>
      </c>
      <c r="O311" s="4">
        <v>7</v>
      </c>
      <c r="P311" s="4">
        <v>230</v>
      </c>
    </row>
    <row r="312" spans="1:16" hidden="1" x14ac:dyDescent="0.35">
      <c r="A312" s="4" t="s">
        <v>45</v>
      </c>
      <c r="C312" s="4">
        <v>1020</v>
      </c>
      <c r="D312" s="4">
        <v>2</v>
      </c>
      <c r="E312" s="12" t="s">
        <v>52</v>
      </c>
      <c r="F312" s="4">
        <v>2024</v>
      </c>
      <c r="G312" s="4" t="s">
        <v>32</v>
      </c>
      <c r="H312" s="4" t="s">
        <v>121</v>
      </c>
      <c r="I312" s="4" t="s">
        <v>122</v>
      </c>
      <c r="J312" s="4" t="s">
        <v>35</v>
      </c>
      <c r="K312" s="4" t="s">
        <v>244</v>
      </c>
      <c r="L312" s="4" t="s">
        <v>96</v>
      </c>
      <c r="M312" s="4" t="s">
        <v>41</v>
      </c>
      <c r="N312" s="4" t="s">
        <v>53</v>
      </c>
      <c r="O312" s="4">
        <v>32</v>
      </c>
      <c r="P312" s="4">
        <v>229</v>
      </c>
    </row>
    <row r="313" spans="1:16" hidden="1" x14ac:dyDescent="0.35">
      <c r="A313" s="4" t="s">
        <v>45</v>
      </c>
      <c r="C313" s="4">
        <v>1020</v>
      </c>
      <c r="D313" s="4">
        <v>2</v>
      </c>
      <c r="E313" s="12" t="s">
        <v>52</v>
      </c>
      <c r="F313" s="4">
        <v>2024</v>
      </c>
      <c r="G313" s="4" t="s">
        <v>32</v>
      </c>
      <c r="H313" s="4" t="s">
        <v>121</v>
      </c>
      <c r="I313" s="4" t="s">
        <v>122</v>
      </c>
      <c r="J313" s="4" t="s">
        <v>35</v>
      </c>
      <c r="K313" s="4" t="s">
        <v>244</v>
      </c>
      <c r="L313" s="4" t="s">
        <v>96</v>
      </c>
      <c r="M313" s="4" t="s">
        <v>41</v>
      </c>
      <c r="N313" s="4" t="s">
        <v>192</v>
      </c>
      <c r="O313" s="4">
        <v>14</v>
      </c>
      <c r="P313" s="4">
        <v>230</v>
      </c>
    </row>
    <row r="314" spans="1:16" hidden="1" x14ac:dyDescent="0.35">
      <c r="A314" s="4" t="s">
        <v>45</v>
      </c>
      <c r="C314" s="4">
        <v>1020</v>
      </c>
      <c r="D314" s="4">
        <v>2</v>
      </c>
      <c r="E314" s="12" t="s">
        <v>52</v>
      </c>
      <c r="F314" s="4">
        <v>2024</v>
      </c>
      <c r="G314" s="4" t="s">
        <v>32</v>
      </c>
      <c r="H314" s="4" t="s">
        <v>121</v>
      </c>
      <c r="I314" s="4" t="s">
        <v>122</v>
      </c>
      <c r="J314" s="4" t="s">
        <v>35</v>
      </c>
      <c r="K314" s="4" t="s">
        <v>244</v>
      </c>
      <c r="L314" s="4" t="s">
        <v>96</v>
      </c>
      <c r="M314" s="4" t="s">
        <v>123</v>
      </c>
      <c r="N314" s="4" t="s">
        <v>53</v>
      </c>
      <c r="O314" s="4">
        <v>20</v>
      </c>
      <c r="P314" s="4">
        <v>229</v>
      </c>
    </row>
    <row r="315" spans="1:16" hidden="1" x14ac:dyDescent="0.35">
      <c r="A315" s="4" t="s">
        <v>45</v>
      </c>
      <c r="C315" s="4">
        <v>1020</v>
      </c>
      <c r="D315" s="4">
        <v>2</v>
      </c>
      <c r="E315" s="12" t="s">
        <v>52</v>
      </c>
      <c r="F315" s="4">
        <v>2024</v>
      </c>
      <c r="G315" s="4" t="s">
        <v>32</v>
      </c>
      <c r="H315" s="4" t="s">
        <v>121</v>
      </c>
      <c r="I315" s="4" t="s">
        <v>122</v>
      </c>
      <c r="J315" s="4" t="s">
        <v>35</v>
      </c>
      <c r="K315" s="4" t="s">
        <v>244</v>
      </c>
      <c r="L315" s="4" t="s">
        <v>96</v>
      </c>
      <c r="M315" s="4" t="s">
        <v>123</v>
      </c>
      <c r="N315" s="4" t="s">
        <v>192</v>
      </c>
      <c r="O315" s="4">
        <v>10</v>
      </c>
      <c r="P315" s="4">
        <v>230</v>
      </c>
    </row>
    <row r="316" spans="1:16" hidden="1" x14ac:dyDescent="0.35">
      <c r="A316" s="4" t="s">
        <v>45</v>
      </c>
      <c r="C316" s="4">
        <v>1020</v>
      </c>
      <c r="D316" s="4">
        <v>2</v>
      </c>
      <c r="E316" s="12" t="s">
        <v>52</v>
      </c>
      <c r="F316" s="4">
        <v>2024</v>
      </c>
      <c r="G316" s="4" t="s">
        <v>32</v>
      </c>
      <c r="H316" s="4" t="s">
        <v>121</v>
      </c>
      <c r="I316" s="4" t="s">
        <v>122</v>
      </c>
      <c r="J316" s="4" t="s">
        <v>35</v>
      </c>
      <c r="K316" s="4" t="s">
        <v>244</v>
      </c>
      <c r="L316" s="4" t="s">
        <v>96</v>
      </c>
      <c r="M316" s="4" t="s">
        <v>124</v>
      </c>
      <c r="N316" s="4" t="s">
        <v>53</v>
      </c>
      <c r="O316" s="4">
        <v>7</v>
      </c>
      <c r="P316" s="4">
        <v>229</v>
      </c>
    </row>
    <row r="317" spans="1:16" hidden="1" x14ac:dyDescent="0.35">
      <c r="A317" s="4" t="s">
        <v>45</v>
      </c>
      <c r="C317" s="4">
        <v>1020</v>
      </c>
      <c r="D317" s="4">
        <v>2</v>
      </c>
      <c r="E317" s="12" t="s">
        <v>52</v>
      </c>
      <c r="F317" s="4">
        <v>2024</v>
      </c>
      <c r="G317" s="4" t="s">
        <v>32</v>
      </c>
      <c r="H317" s="4" t="s">
        <v>121</v>
      </c>
      <c r="I317" s="4" t="s">
        <v>122</v>
      </c>
      <c r="J317" s="4" t="s">
        <v>35</v>
      </c>
      <c r="K317" s="4" t="s">
        <v>244</v>
      </c>
      <c r="L317" s="4" t="s">
        <v>96</v>
      </c>
      <c r="M317" s="4" t="s">
        <v>124</v>
      </c>
      <c r="N317" s="4" t="s">
        <v>192</v>
      </c>
      <c r="O317" s="4">
        <v>1</v>
      </c>
      <c r="P317" s="4">
        <v>230</v>
      </c>
    </row>
    <row r="318" spans="1:16" hidden="1" x14ac:dyDescent="0.35">
      <c r="A318" s="4" t="s">
        <v>45</v>
      </c>
      <c r="C318" s="4">
        <v>1020</v>
      </c>
      <c r="D318" s="4">
        <v>2</v>
      </c>
      <c r="E318" s="12" t="s">
        <v>52</v>
      </c>
      <c r="F318" s="4">
        <v>2024</v>
      </c>
      <c r="G318" s="4" t="s">
        <v>32</v>
      </c>
      <c r="H318" s="4" t="s">
        <v>121</v>
      </c>
      <c r="I318" s="4" t="s">
        <v>125</v>
      </c>
      <c r="J318" s="4" t="s">
        <v>35</v>
      </c>
      <c r="K318" s="4" t="s">
        <v>244</v>
      </c>
      <c r="L318" s="4" t="s">
        <v>91</v>
      </c>
      <c r="M318" s="4" t="s">
        <v>41</v>
      </c>
      <c r="N318" s="4" t="s">
        <v>53</v>
      </c>
      <c r="O318" s="4">
        <v>96</v>
      </c>
      <c r="P318" s="4">
        <v>229</v>
      </c>
    </row>
    <row r="319" spans="1:16" hidden="1" x14ac:dyDescent="0.35">
      <c r="A319" s="4" t="s">
        <v>45</v>
      </c>
      <c r="C319" s="4">
        <v>1020</v>
      </c>
      <c r="D319" s="4">
        <v>2</v>
      </c>
      <c r="E319" s="12" t="s">
        <v>52</v>
      </c>
      <c r="F319" s="4">
        <v>2024</v>
      </c>
      <c r="G319" s="4" t="s">
        <v>32</v>
      </c>
      <c r="H319" s="4" t="s">
        <v>121</v>
      </c>
      <c r="I319" s="4" t="s">
        <v>125</v>
      </c>
      <c r="J319" s="4" t="s">
        <v>35</v>
      </c>
      <c r="K319" s="4" t="s">
        <v>244</v>
      </c>
      <c r="L319" s="4" t="s">
        <v>91</v>
      </c>
      <c r="M319" s="4" t="s">
        <v>41</v>
      </c>
      <c r="N319" s="4" t="s">
        <v>192</v>
      </c>
      <c r="O319" s="4">
        <v>71</v>
      </c>
      <c r="P319" s="4">
        <v>230</v>
      </c>
    </row>
    <row r="320" spans="1:16" hidden="1" x14ac:dyDescent="0.35">
      <c r="A320" s="4" t="s">
        <v>45</v>
      </c>
      <c r="C320" s="4">
        <v>1020</v>
      </c>
      <c r="D320" s="4">
        <v>2</v>
      </c>
      <c r="E320" s="12" t="s">
        <v>52</v>
      </c>
      <c r="F320" s="4">
        <v>2024</v>
      </c>
      <c r="G320" s="4" t="s">
        <v>32</v>
      </c>
      <c r="H320" s="4" t="s">
        <v>121</v>
      </c>
      <c r="I320" s="4" t="s">
        <v>125</v>
      </c>
      <c r="J320" s="4" t="s">
        <v>35</v>
      </c>
      <c r="K320" s="4" t="s">
        <v>244</v>
      </c>
      <c r="L320" s="4" t="s">
        <v>91</v>
      </c>
      <c r="M320" s="4" t="s">
        <v>123</v>
      </c>
      <c r="N320" s="4" t="s">
        <v>53</v>
      </c>
      <c r="O320" s="4">
        <v>48</v>
      </c>
      <c r="P320" s="4">
        <v>229</v>
      </c>
    </row>
    <row r="321" spans="1:16" hidden="1" x14ac:dyDescent="0.35">
      <c r="A321" s="4" t="s">
        <v>45</v>
      </c>
      <c r="C321" s="4">
        <v>1020</v>
      </c>
      <c r="D321" s="4">
        <v>2</v>
      </c>
      <c r="E321" s="12" t="s">
        <v>52</v>
      </c>
      <c r="F321" s="4">
        <v>2024</v>
      </c>
      <c r="G321" s="4" t="s">
        <v>32</v>
      </c>
      <c r="H321" s="4" t="s">
        <v>121</v>
      </c>
      <c r="I321" s="4" t="s">
        <v>125</v>
      </c>
      <c r="J321" s="4" t="s">
        <v>35</v>
      </c>
      <c r="K321" s="4" t="s">
        <v>244</v>
      </c>
      <c r="L321" s="4" t="s">
        <v>91</v>
      </c>
      <c r="M321" s="4" t="s">
        <v>123</v>
      </c>
      <c r="N321" s="4" t="s">
        <v>192</v>
      </c>
      <c r="O321" s="4">
        <v>34</v>
      </c>
      <c r="P321" s="4">
        <v>230</v>
      </c>
    </row>
    <row r="322" spans="1:16" hidden="1" x14ac:dyDescent="0.35">
      <c r="A322" s="4" t="s">
        <v>45</v>
      </c>
      <c r="C322" s="4">
        <v>1020</v>
      </c>
      <c r="D322" s="4">
        <v>2</v>
      </c>
      <c r="E322" s="12" t="s">
        <v>52</v>
      </c>
      <c r="F322" s="4">
        <v>2024</v>
      </c>
      <c r="G322" s="4" t="s">
        <v>32</v>
      </c>
      <c r="H322" s="4" t="s">
        <v>121</v>
      </c>
      <c r="I322" s="4" t="s">
        <v>125</v>
      </c>
      <c r="J322" s="4" t="s">
        <v>35</v>
      </c>
      <c r="K322" s="4" t="s">
        <v>244</v>
      </c>
      <c r="L322" s="4" t="s">
        <v>91</v>
      </c>
      <c r="M322" s="4" t="s">
        <v>124</v>
      </c>
      <c r="N322" s="4" t="s">
        <v>53</v>
      </c>
      <c r="O322" s="4">
        <v>31</v>
      </c>
      <c r="P322" s="4">
        <v>229</v>
      </c>
    </row>
    <row r="323" spans="1:16" hidden="1" x14ac:dyDescent="0.35">
      <c r="A323" s="4" t="s">
        <v>45</v>
      </c>
      <c r="C323" s="4">
        <v>1020</v>
      </c>
      <c r="D323" s="4">
        <v>2</v>
      </c>
      <c r="E323" s="12" t="s">
        <v>52</v>
      </c>
      <c r="F323" s="4">
        <v>2024</v>
      </c>
      <c r="G323" s="4" t="s">
        <v>32</v>
      </c>
      <c r="H323" s="4" t="s">
        <v>121</v>
      </c>
      <c r="I323" s="4" t="s">
        <v>125</v>
      </c>
      <c r="J323" s="4" t="s">
        <v>35</v>
      </c>
      <c r="K323" s="4" t="s">
        <v>244</v>
      </c>
      <c r="L323" s="4" t="s">
        <v>91</v>
      </c>
      <c r="M323" s="4" t="s">
        <v>124</v>
      </c>
      <c r="N323" s="4" t="s">
        <v>192</v>
      </c>
      <c r="O323" s="4">
        <v>23</v>
      </c>
      <c r="P323" s="4">
        <v>230</v>
      </c>
    </row>
    <row r="324" spans="1:16" hidden="1" x14ac:dyDescent="0.35">
      <c r="A324" s="4" t="s">
        <v>45</v>
      </c>
      <c r="C324" s="4">
        <v>1020</v>
      </c>
      <c r="D324" s="4">
        <v>2</v>
      </c>
      <c r="E324" s="12" t="s">
        <v>52</v>
      </c>
      <c r="F324" s="4">
        <v>2024</v>
      </c>
      <c r="G324" s="4" t="s">
        <v>32</v>
      </c>
      <c r="H324" s="4" t="s">
        <v>121</v>
      </c>
      <c r="I324" s="4" t="s">
        <v>125</v>
      </c>
      <c r="J324" s="4" t="s">
        <v>35</v>
      </c>
      <c r="K324" s="4" t="s">
        <v>244</v>
      </c>
      <c r="L324" s="4" t="s">
        <v>96</v>
      </c>
      <c r="M324" s="4" t="s">
        <v>41</v>
      </c>
      <c r="N324" s="4" t="s">
        <v>53</v>
      </c>
      <c r="O324" s="4">
        <v>65</v>
      </c>
      <c r="P324" s="4">
        <v>229</v>
      </c>
    </row>
    <row r="325" spans="1:16" hidden="1" x14ac:dyDescent="0.35">
      <c r="A325" s="4" t="s">
        <v>45</v>
      </c>
      <c r="C325" s="4">
        <v>1020</v>
      </c>
      <c r="D325" s="4">
        <v>2</v>
      </c>
      <c r="E325" s="12" t="s">
        <v>52</v>
      </c>
      <c r="F325" s="4">
        <v>2024</v>
      </c>
      <c r="G325" s="4" t="s">
        <v>32</v>
      </c>
      <c r="H325" s="4" t="s">
        <v>121</v>
      </c>
      <c r="I325" s="4" t="s">
        <v>125</v>
      </c>
      <c r="J325" s="4" t="s">
        <v>35</v>
      </c>
      <c r="K325" s="4" t="s">
        <v>244</v>
      </c>
      <c r="L325" s="4" t="s">
        <v>96</v>
      </c>
      <c r="M325" s="4" t="s">
        <v>41</v>
      </c>
      <c r="N325" s="4" t="s">
        <v>192</v>
      </c>
      <c r="O325" s="4">
        <v>46</v>
      </c>
      <c r="P325" s="4">
        <v>230</v>
      </c>
    </row>
    <row r="326" spans="1:16" hidden="1" x14ac:dyDescent="0.35">
      <c r="A326" s="4" t="s">
        <v>45</v>
      </c>
      <c r="C326" s="4">
        <v>1020</v>
      </c>
      <c r="D326" s="4">
        <v>2</v>
      </c>
      <c r="E326" s="12" t="s">
        <v>52</v>
      </c>
      <c r="F326" s="4">
        <v>2024</v>
      </c>
      <c r="G326" s="4" t="s">
        <v>32</v>
      </c>
      <c r="H326" s="4" t="s">
        <v>121</v>
      </c>
      <c r="I326" s="4" t="s">
        <v>125</v>
      </c>
      <c r="J326" s="4" t="s">
        <v>35</v>
      </c>
      <c r="K326" s="4" t="s">
        <v>244</v>
      </c>
      <c r="L326" s="4" t="s">
        <v>96</v>
      </c>
      <c r="M326" s="4" t="s">
        <v>123</v>
      </c>
      <c r="N326" s="4" t="s">
        <v>53</v>
      </c>
      <c r="O326" s="4">
        <v>33</v>
      </c>
      <c r="P326" s="4">
        <v>229</v>
      </c>
    </row>
    <row r="327" spans="1:16" hidden="1" x14ac:dyDescent="0.35">
      <c r="A327" s="4" t="s">
        <v>45</v>
      </c>
      <c r="C327" s="4">
        <v>1020</v>
      </c>
      <c r="D327" s="4">
        <v>2</v>
      </c>
      <c r="E327" s="12" t="s">
        <v>52</v>
      </c>
      <c r="F327" s="4">
        <v>2024</v>
      </c>
      <c r="G327" s="4" t="s">
        <v>32</v>
      </c>
      <c r="H327" s="4" t="s">
        <v>121</v>
      </c>
      <c r="I327" s="4" t="s">
        <v>125</v>
      </c>
      <c r="J327" s="4" t="s">
        <v>35</v>
      </c>
      <c r="K327" s="4" t="s">
        <v>244</v>
      </c>
      <c r="L327" s="4" t="s">
        <v>96</v>
      </c>
      <c r="M327" s="4" t="s">
        <v>123</v>
      </c>
      <c r="N327" s="4" t="s">
        <v>192</v>
      </c>
      <c r="O327" s="4">
        <v>19</v>
      </c>
      <c r="P327" s="4">
        <v>230</v>
      </c>
    </row>
    <row r="328" spans="1:16" hidden="1" x14ac:dyDescent="0.35">
      <c r="A328" s="4" t="s">
        <v>45</v>
      </c>
      <c r="C328" s="4">
        <v>1020</v>
      </c>
      <c r="D328" s="4">
        <v>2</v>
      </c>
      <c r="E328" s="12" t="s">
        <v>52</v>
      </c>
      <c r="F328" s="4">
        <v>2024</v>
      </c>
      <c r="G328" s="4" t="s">
        <v>32</v>
      </c>
      <c r="H328" s="4" t="s">
        <v>121</v>
      </c>
      <c r="I328" s="4" t="s">
        <v>125</v>
      </c>
      <c r="J328" s="4" t="s">
        <v>35</v>
      </c>
      <c r="K328" s="4" t="s">
        <v>244</v>
      </c>
      <c r="L328" s="4" t="s">
        <v>96</v>
      </c>
      <c r="M328" s="4" t="s">
        <v>124</v>
      </c>
      <c r="N328" s="4" t="s">
        <v>53</v>
      </c>
      <c r="O328" s="4">
        <v>19</v>
      </c>
      <c r="P328" s="4">
        <v>229</v>
      </c>
    </row>
    <row r="329" spans="1:16" hidden="1" x14ac:dyDescent="0.35">
      <c r="A329" s="4" t="s">
        <v>45</v>
      </c>
      <c r="C329" s="4">
        <v>1020</v>
      </c>
      <c r="D329" s="4">
        <v>2</v>
      </c>
      <c r="E329" s="12" t="s">
        <v>52</v>
      </c>
      <c r="F329" s="4">
        <v>2024</v>
      </c>
      <c r="G329" s="4" t="s">
        <v>32</v>
      </c>
      <c r="H329" s="4" t="s">
        <v>121</v>
      </c>
      <c r="I329" s="4" t="s">
        <v>125</v>
      </c>
      <c r="J329" s="4" t="s">
        <v>35</v>
      </c>
      <c r="K329" s="4" t="s">
        <v>244</v>
      </c>
      <c r="L329" s="4" t="s">
        <v>96</v>
      </c>
      <c r="M329" s="4" t="s">
        <v>124</v>
      </c>
      <c r="N329" s="4" t="s">
        <v>192</v>
      </c>
      <c r="O329" s="4">
        <v>14</v>
      </c>
      <c r="P329" s="4">
        <v>230</v>
      </c>
    </row>
    <row r="330" spans="1:16" hidden="1" x14ac:dyDescent="0.35">
      <c r="A330" s="4" t="s">
        <v>45</v>
      </c>
      <c r="C330" s="4">
        <v>1020</v>
      </c>
      <c r="D330" s="4">
        <v>2</v>
      </c>
      <c r="E330" s="12" t="s">
        <v>52</v>
      </c>
      <c r="F330" s="4">
        <v>2024</v>
      </c>
      <c r="G330" s="4" t="s">
        <v>32</v>
      </c>
      <c r="H330" s="4" t="s">
        <v>33</v>
      </c>
      <c r="I330" s="4" t="s">
        <v>88</v>
      </c>
      <c r="J330" s="4" t="s">
        <v>35</v>
      </c>
      <c r="K330" s="4" t="s">
        <v>244</v>
      </c>
      <c r="L330" s="4" t="s">
        <v>91</v>
      </c>
      <c r="M330" s="4" t="s">
        <v>41</v>
      </c>
      <c r="N330" s="4" t="s">
        <v>53</v>
      </c>
      <c r="O330" s="4">
        <v>203</v>
      </c>
      <c r="P330" s="4">
        <v>229</v>
      </c>
    </row>
    <row r="331" spans="1:16" hidden="1" x14ac:dyDescent="0.35">
      <c r="A331" s="4" t="s">
        <v>45</v>
      </c>
      <c r="C331" s="4">
        <v>1020</v>
      </c>
      <c r="D331" s="4">
        <v>2</v>
      </c>
      <c r="E331" s="12" t="s">
        <v>52</v>
      </c>
      <c r="F331" s="4">
        <v>2024</v>
      </c>
      <c r="G331" s="4" t="s">
        <v>32</v>
      </c>
      <c r="H331" s="4" t="s">
        <v>33</v>
      </c>
      <c r="I331" s="4" t="s">
        <v>88</v>
      </c>
      <c r="J331" s="4" t="s">
        <v>35</v>
      </c>
      <c r="K331" s="4" t="s">
        <v>244</v>
      </c>
      <c r="L331" s="4" t="s">
        <v>91</v>
      </c>
      <c r="M331" s="4" t="s">
        <v>41</v>
      </c>
      <c r="N331" s="4" t="s">
        <v>192</v>
      </c>
      <c r="O331" s="4">
        <v>200</v>
      </c>
      <c r="P331" s="4">
        <v>230</v>
      </c>
    </row>
    <row r="332" spans="1:16" hidden="1" x14ac:dyDescent="0.35">
      <c r="A332" s="4" t="s">
        <v>45</v>
      </c>
      <c r="C332" s="4">
        <v>1020</v>
      </c>
      <c r="D332" s="4">
        <v>2</v>
      </c>
      <c r="E332" s="12" t="s">
        <v>52</v>
      </c>
      <c r="F332" s="4">
        <v>2024</v>
      </c>
      <c r="G332" s="4" t="s">
        <v>32</v>
      </c>
      <c r="H332" s="4" t="s">
        <v>33</v>
      </c>
      <c r="I332" s="4" t="s">
        <v>88</v>
      </c>
      <c r="J332" s="4" t="s">
        <v>35</v>
      </c>
      <c r="K332" s="4" t="s">
        <v>244</v>
      </c>
      <c r="L332" s="4" t="s">
        <v>91</v>
      </c>
      <c r="M332" s="4" t="s">
        <v>123</v>
      </c>
      <c r="N332" s="4" t="s">
        <v>53</v>
      </c>
      <c r="O332" s="4">
        <v>197</v>
      </c>
      <c r="P332" s="4">
        <v>229</v>
      </c>
    </row>
    <row r="333" spans="1:16" hidden="1" x14ac:dyDescent="0.35">
      <c r="A333" s="4" t="s">
        <v>45</v>
      </c>
      <c r="C333" s="4">
        <v>1020</v>
      </c>
      <c r="D333" s="4">
        <v>2</v>
      </c>
      <c r="E333" s="12" t="s">
        <v>52</v>
      </c>
      <c r="F333" s="4">
        <v>2024</v>
      </c>
      <c r="G333" s="4" t="s">
        <v>32</v>
      </c>
      <c r="H333" s="4" t="s">
        <v>33</v>
      </c>
      <c r="I333" s="4" t="s">
        <v>88</v>
      </c>
      <c r="J333" s="4" t="s">
        <v>35</v>
      </c>
      <c r="K333" s="4" t="s">
        <v>244</v>
      </c>
      <c r="L333" s="4" t="s">
        <v>91</v>
      </c>
      <c r="M333" s="4" t="s">
        <v>123</v>
      </c>
      <c r="N333" s="4" t="s">
        <v>192</v>
      </c>
      <c r="O333" s="4">
        <v>195</v>
      </c>
      <c r="P333" s="4">
        <v>230</v>
      </c>
    </row>
    <row r="334" spans="1:16" hidden="1" x14ac:dyDescent="0.35">
      <c r="A334" s="4" t="s">
        <v>45</v>
      </c>
      <c r="C334" s="4">
        <v>1020</v>
      </c>
      <c r="D334" s="4">
        <v>2</v>
      </c>
      <c r="E334" s="12" t="s">
        <v>52</v>
      </c>
      <c r="F334" s="4">
        <v>2024</v>
      </c>
      <c r="G334" s="4" t="s">
        <v>32</v>
      </c>
      <c r="H334" s="4" t="s">
        <v>33</v>
      </c>
      <c r="I334" s="4" t="s">
        <v>88</v>
      </c>
      <c r="J334" s="4" t="s">
        <v>35</v>
      </c>
      <c r="K334" s="4" t="s">
        <v>244</v>
      </c>
      <c r="L334" s="4" t="s">
        <v>91</v>
      </c>
      <c r="M334" s="4" t="s">
        <v>124</v>
      </c>
      <c r="N334" s="4" t="s">
        <v>53</v>
      </c>
      <c r="O334" s="4">
        <v>71</v>
      </c>
      <c r="P334" s="4">
        <v>229</v>
      </c>
    </row>
    <row r="335" spans="1:16" hidden="1" x14ac:dyDescent="0.35">
      <c r="A335" s="4" t="s">
        <v>45</v>
      </c>
      <c r="C335" s="4">
        <v>1020</v>
      </c>
      <c r="D335" s="4">
        <v>2</v>
      </c>
      <c r="E335" s="12" t="s">
        <v>52</v>
      </c>
      <c r="F335" s="4">
        <v>2024</v>
      </c>
      <c r="G335" s="4" t="s">
        <v>32</v>
      </c>
      <c r="H335" s="4" t="s">
        <v>33</v>
      </c>
      <c r="I335" s="4" t="s">
        <v>88</v>
      </c>
      <c r="J335" s="4" t="s">
        <v>35</v>
      </c>
      <c r="K335" s="4" t="s">
        <v>244</v>
      </c>
      <c r="L335" s="4" t="s">
        <v>91</v>
      </c>
      <c r="M335" s="4" t="s">
        <v>124</v>
      </c>
      <c r="N335" s="4" t="s">
        <v>192</v>
      </c>
      <c r="O335" s="4">
        <v>45</v>
      </c>
      <c r="P335" s="4">
        <v>230</v>
      </c>
    </row>
    <row r="336" spans="1:16" hidden="1" x14ac:dyDescent="0.35">
      <c r="A336" s="4" t="s">
        <v>45</v>
      </c>
      <c r="C336" s="4">
        <v>1020</v>
      </c>
      <c r="D336" s="4">
        <v>2</v>
      </c>
      <c r="E336" s="12" t="s">
        <v>52</v>
      </c>
      <c r="F336" s="4">
        <v>2024</v>
      </c>
      <c r="G336" s="4" t="s">
        <v>32</v>
      </c>
      <c r="H336" s="4" t="s">
        <v>33</v>
      </c>
      <c r="I336" s="4" t="s">
        <v>88</v>
      </c>
      <c r="J336" s="4" t="s">
        <v>35</v>
      </c>
      <c r="K336" s="4" t="s">
        <v>244</v>
      </c>
      <c r="L336" s="4" t="s">
        <v>96</v>
      </c>
      <c r="M336" s="4" t="s">
        <v>41</v>
      </c>
      <c r="N336" s="4" t="s">
        <v>53</v>
      </c>
      <c r="O336" s="4">
        <v>74</v>
      </c>
      <c r="P336" s="4">
        <v>229</v>
      </c>
    </row>
    <row r="337" spans="1:16" hidden="1" x14ac:dyDescent="0.35">
      <c r="A337" s="4" t="s">
        <v>45</v>
      </c>
      <c r="C337" s="4">
        <v>1020</v>
      </c>
      <c r="D337" s="4">
        <v>2</v>
      </c>
      <c r="E337" s="12" t="s">
        <v>52</v>
      </c>
      <c r="F337" s="4">
        <v>2024</v>
      </c>
      <c r="G337" s="4" t="s">
        <v>32</v>
      </c>
      <c r="H337" s="4" t="s">
        <v>33</v>
      </c>
      <c r="I337" s="4" t="s">
        <v>88</v>
      </c>
      <c r="J337" s="4" t="s">
        <v>35</v>
      </c>
      <c r="K337" s="4" t="s">
        <v>244</v>
      </c>
      <c r="L337" s="4" t="s">
        <v>96</v>
      </c>
      <c r="M337" s="4" t="s">
        <v>41</v>
      </c>
      <c r="N337" s="4" t="s">
        <v>192</v>
      </c>
      <c r="O337" s="4">
        <v>58</v>
      </c>
      <c r="P337" s="4">
        <v>230</v>
      </c>
    </row>
    <row r="338" spans="1:16" hidden="1" x14ac:dyDescent="0.35">
      <c r="A338" s="4" t="s">
        <v>45</v>
      </c>
      <c r="C338" s="4">
        <v>1020</v>
      </c>
      <c r="D338" s="4">
        <v>2</v>
      </c>
      <c r="E338" s="12" t="s">
        <v>52</v>
      </c>
      <c r="F338" s="4">
        <v>2024</v>
      </c>
      <c r="G338" s="4" t="s">
        <v>32</v>
      </c>
      <c r="H338" s="4" t="s">
        <v>33</v>
      </c>
      <c r="I338" s="4" t="s">
        <v>88</v>
      </c>
      <c r="J338" s="4" t="s">
        <v>35</v>
      </c>
      <c r="K338" s="4" t="s">
        <v>244</v>
      </c>
      <c r="L338" s="4" t="s">
        <v>96</v>
      </c>
      <c r="M338" s="4" t="s">
        <v>123</v>
      </c>
      <c r="N338" s="4" t="s">
        <v>53</v>
      </c>
      <c r="O338" s="4">
        <v>62</v>
      </c>
      <c r="P338" s="4">
        <v>229</v>
      </c>
    </row>
    <row r="339" spans="1:16" hidden="1" x14ac:dyDescent="0.35">
      <c r="A339" s="4" t="s">
        <v>45</v>
      </c>
      <c r="C339" s="4">
        <v>1020</v>
      </c>
      <c r="D339" s="4">
        <v>2</v>
      </c>
      <c r="E339" s="12" t="s">
        <v>52</v>
      </c>
      <c r="F339" s="4">
        <v>2024</v>
      </c>
      <c r="G339" s="4" t="s">
        <v>32</v>
      </c>
      <c r="H339" s="4" t="s">
        <v>33</v>
      </c>
      <c r="I339" s="4" t="s">
        <v>88</v>
      </c>
      <c r="J339" s="4" t="s">
        <v>35</v>
      </c>
      <c r="K339" s="4" t="s">
        <v>244</v>
      </c>
      <c r="L339" s="4" t="s">
        <v>96</v>
      </c>
      <c r="M339" s="4" t="s">
        <v>123</v>
      </c>
      <c r="N339" s="4" t="s">
        <v>192</v>
      </c>
      <c r="O339" s="4">
        <v>52</v>
      </c>
      <c r="P339" s="4">
        <v>230</v>
      </c>
    </row>
    <row r="340" spans="1:16" hidden="1" x14ac:dyDescent="0.35">
      <c r="A340" s="4" t="s">
        <v>45</v>
      </c>
      <c r="C340" s="4">
        <v>1020</v>
      </c>
      <c r="D340" s="4">
        <v>2</v>
      </c>
      <c r="E340" s="12" t="s">
        <v>52</v>
      </c>
      <c r="F340" s="4">
        <v>2024</v>
      </c>
      <c r="G340" s="4" t="s">
        <v>32</v>
      </c>
      <c r="H340" s="4" t="s">
        <v>33</v>
      </c>
      <c r="I340" s="4" t="s">
        <v>88</v>
      </c>
      <c r="J340" s="4" t="s">
        <v>35</v>
      </c>
      <c r="K340" s="4" t="s">
        <v>244</v>
      </c>
      <c r="L340" s="4" t="s">
        <v>96</v>
      </c>
      <c r="M340" s="4" t="s">
        <v>124</v>
      </c>
      <c r="N340" s="4" t="s">
        <v>53</v>
      </c>
      <c r="O340" s="4">
        <v>12</v>
      </c>
      <c r="P340" s="4">
        <v>229</v>
      </c>
    </row>
    <row r="341" spans="1:16" hidden="1" x14ac:dyDescent="0.35">
      <c r="A341" s="4" t="s">
        <v>45</v>
      </c>
      <c r="C341" s="4">
        <v>1020</v>
      </c>
      <c r="D341" s="4">
        <v>2</v>
      </c>
      <c r="E341" s="12" t="s">
        <v>52</v>
      </c>
      <c r="F341" s="4">
        <v>2024</v>
      </c>
      <c r="G341" s="4" t="s">
        <v>32</v>
      </c>
      <c r="H341" s="4" t="s">
        <v>33</v>
      </c>
      <c r="I341" s="4" t="s">
        <v>88</v>
      </c>
      <c r="J341" s="4" t="s">
        <v>35</v>
      </c>
      <c r="K341" s="4" t="s">
        <v>244</v>
      </c>
      <c r="L341" s="4" t="s">
        <v>96</v>
      </c>
      <c r="M341" s="4" t="s">
        <v>124</v>
      </c>
      <c r="N341" s="4" t="s">
        <v>192</v>
      </c>
      <c r="O341" s="4">
        <v>4</v>
      </c>
      <c r="P341" s="4">
        <v>230</v>
      </c>
    </row>
    <row r="342" spans="1:16" hidden="1" x14ac:dyDescent="0.35">
      <c r="A342" s="4" t="s">
        <v>45</v>
      </c>
      <c r="C342" s="4">
        <v>1020</v>
      </c>
      <c r="D342" s="4">
        <v>2</v>
      </c>
      <c r="E342" s="12" t="s">
        <v>52</v>
      </c>
      <c r="F342" s="4">
        <v>2024</v>
      </c>
      <c r="G342" s="4" t="s">
        <v>32</v>
      </c>
      <c r="H342" s="4" t="s">
        <v>33</v>
      </c>
      <c r="I342" s="4" t="s">
        <v>122</v>
      </c>
      <c r="J342" s="4" t="s">
        <v>35</v>
      </c>
      <c r="K342" s="4" t="s">
        <v>244</v>
      </c>
      <c r="L342" s="4" t="s">
        <v>91</v>
      </c>
      <c r="M342" s="4" t="s">
        <v>41</v>
      </c>
      <c r="N342" s="4" t="s">
        <v>53</v>
      </c>
      <c r="O342" s="4">
        <v>44</v>
      </c>
      <c r="P342" s="4">
        <v>229</v>
      </c>
    </row>
    <row r="343" spans="1:16" hidden="1" x14ac:dyDescent="0.35">
      <c r="A343" s="4" t="s">
        <v>45</v>
      </c>
      <c r="C343" s="4">
        <v>1020</v>
      </c>
      <c r="D343" s="4">
        <v>2</v>
      </c>
      <c r="E343" s="12" t="s">
        <v>52</v>
      </c>
      <c r="F343" s="4">
        <v>2024</v>
      </c>
      <c r="G343" s="4" t="s">
        <v>32</v>
      </c>
      <c r="H343" s="4" t="s">
        <v>33</v>
      </c>
      <c r="I343" s="4" t="s">
        <v>122</v>
      </c>
      <c r="J343" s="4" t="s">
        <v>35</v>
      </c>
      <c r="K343" s="4" t="s">
        <v>244</v>
      </c>
      <c r="L343" s="4" t="s">
        <v>91</v>
      </c>
      <c r="M343" s="4" t="s">
        <v>41</v>
      </c>
      <c r="N343" s="4" t="s">
        <v>192</v>
      </c>
      <c r="O343" s="4">
        <v>17</v>
      </c>
      <c r="P343" s="4">
        <v>230</v>
      </c>
    </row>
    <row r="344" spans="1:16" hidden="1" x14ac:dyDescent="0.35">
      <c r="A344" s="4" t="s">
        <v>45</v>
      </c>
      <c r="C344" s="4">
        <v>1020</v>
      </c>
      <c r="D344" s="4">
        <v>2</v>
      </c>
      <c r="E344" s="12" t="s">
        <v>52</v>
      </c>
      <c r="F344" s="4">
        <v>2024</v>
      </c>
      <c r="G344" s="4" t="s">
        <v>32</v>
      </c>
      <c r="H344" s="4" t="s">
        <v>33</v>
      </c>
      <c r="I344" s="4" t="s">
        <v>122</v>
      </c>
      <c r="J344" s="4" t="s">
        <v>35</v>
      </c>
      <c r="K344" s="4" t="s">
        <v>244</v>
      </c>
      <c r="L344" s="4" t="s">
        <v>91</v>
      </c>
      <c r="M344" s="4" t="s">
        <v>123</v>
      </c>
      <c r="N344" s="4" t="s">
        <v>53</v>
      </c>
      <c r="O344" s="4">
        <v>26</v>
      </c>
      <c r="P344" s="4">
        <v>229</v>
      </c>
    </row>
    <row r="345" spans="1:16" hidden="1" x14ac:dyDescent="0.35">
      <c r="A345" s="4" t="s">
        <v>45</v>
      </c>
      <c r="C345" s="4">
        <v>1020</v>
      </c>
      <c r="D345" s="4">
        <v>2</v>
      </c>
      <c r="E345" s="12" t="s">
        <v>52</v>
      </c>
      <c r="F345" s="4">
        <v>2024</v>
      </c>
      <c r="G345" s="4" t="s">
        <v>32</v>
      </c>
      <c r="H345" s="4" t="s">
        <v>33</v>
      </c>
      <c r="I345" s="4" t="s">
        <v>122</v>
      </c>
      <c r="J345" s="4" t="s">
        <v>35</v>
      </c>
      <c r="K345" s="4" t="s">
        <v>244</v>
      </c>
      <c r="L345" s="4" t="s">
        <v>91</v>
      </c>
      <c r="M345" s="4" t="s">
        <v>123</v>
      </c>
      <c r="N345" s="4" t="s">
        <v>192</v>
      </c>
      <c r="O345" s="4">
        <v>12</v>
      </c>
      <c r="P345" s="4">
        <v>230</v>
      </c>
    </row>
    <row r="346" spans="1:16" hidden="1" x14ac:dyDescent="0.35">
      <c r="A346" s="4" t="s">
        <v>45</v>
      </c>
      <c r="C346" s="4">
        <v>1020</v>
      </c>
      <c r="D346" s="4">
        <v>2</v>
      </c>
      <c r="E346" s="12" t="s">
        <v>52</v>
      </c>
      <c r="F346" s="4">
        <v>2024</v>
      </c>
      <c r="G346" s="4" t="s">
        <v>32</v>
      </c>
      <c r="H346" s="4" t="s">
        <v>33</v>
      </c>
      <c r="I346" s="4" t="s">
        <v>122</v>
      </c>
      <c r="J346" s="4" t="s">
        <v>35</v>
      </c>
      <c r="K346" s="4" t="s">
        <v>244</v>
      </c>
      <c r="L346" s="4" t="s">
        <v>91</v>
      </c>
      <c r="M346" s="4" t="s">
        <v>124</v>
      </c>
      <c r="N346" s="4" t="s">
        <v>53</v>
      </c>
      <c r="O346" s="4">
        <v>14</v>
      </c>
      <c r="P346" s="4">
        <v>229</v>
      </c>
    </row>
    <row r="347" spans="1:16" hidden="1" x14ac:dyDescent="0.35">
      <c r="A347" s="4" t="s">
        <v>45</v>
      </c>
      <c r="C347" s="4">
        <v>1020</v>
      </c>
      <c r="D347" s="4">
        <v>2</v>
      </c>
      <c r="E347" s="12" t="s">
        <v>52</v>
      </c>
      <c r="F347" s="4">
        <v>2024</v>
      </c>
      <c r="G347" s="4" t="s">
        <v>32</v>
      </c>
      <c r="H347" s="4" t="s">
        <v>33</v>
      </c>
      <c r="I347" s="4" t="s">
        <v>122</v>
      </c>
      <c r="J347" s="4" t="s">
        <v>35</v>
      </c>
      <c r="K347" s="4" t="s">
        <v>244</v>
      </c>
      <c r="L347" s="4" t="s">
        <v>91</v>
      </c>
      <c r="M347" s="4" t="s">
        <v>124</v>
      </c>
      <c r="N347" s="4" t="s">
        <v>192</v>
      </c>
      <c r="O347" s="4">
        <v>4</v>
      </c>
      <c r="P347" s="4">
        <v>230</v>
      </c>
    </row>
    <row r="348" spans="1:16" hidden="1" x14ac:dyDescent="0.35">
      <c r="A348" s="4" t="s">
        <v>45</v>
      </c>
      <c r="C348" s="4">
        <v>1020</v>
      </c>
      <c r="D348" s="4">
        <v>2</v>
      </c>
      <c r="E348" s="12" t="s">
        <v>52</v>
      </c>
      <c r="F348" s="4">
        <v>2024</v>
      </c>
      <c r="G348" s="4" t="s">
        <v>32</v>
      </c>
      <c r="H348" s="4" t="s">
        <v>33</v>
      </c>
      <c r="I348" s="4" t="s">
        <v>122</v>
      </c>
      <c r="J348" s="4" t="s">
        <v>35</v>
      </c>
      <c r="K348" s="4" t="s">
        <v>244</v>
      </c>
      <c r="L348" s="4" t="s">
        <v>96</v>
      </c>
      <c r="M348" s="4" t="s">
        <v>41</v>
      </c>
      <c r="N348" s="4" t="s">
        <v>53</v>
      </c>
      <c r="O348" s="4">
        <v>25</v>
      </c>
      <c r="P348" s="4">
        <v>229</v>
      </c>
    </row>
    <row r="349" spans="1:16" hidden="1" x14ac:dyDescent="0.35">
      <c r="A349" s="4" t="s">
        <v>45</v>
      </c>
      <c r="C349" s="4">
        <v>1020</v>
      </c>
      <c r="D349" s="4">
        <v>2</v>
      </c>
      <c r="E349" s="12" t="s">
        <v>52</v>
      </c>
      <c r="F349" s="4">
        <v>2024</v>
      </c>
      <c r="G349" s="4" t="s">
        <v>32</v>
      </c>
      <c r="H349" s="4" t="s">
        <v>33</v>
      </c>
      <c r="I349" s="4" t="s">
        <v>122</v>
      </c>
      <c r="J349" s="4" t="s">
        <v>35</v>
      </c>
      <c r="K349" s="4" t="s">
        <v>244</v>
      </c>
      <c r="L349" s="4" t="s">
        <v>96</v>
      </c>
      <c r="M349" s="4" t="s">
        <v>41</v>
      </c>
      <c r="N349" s="4" t="s">
        <v>192</v>
      </c>
      <c r="O349" s="4">
        <v>11</v>
      </c>
      <c r="P349" s="4">
        <v>230</v>
      </c>
    </row>
    <row r="350" spans="1:16" hidden="1" x14ac:dyDescent="0.35">
      <c r="A350" s="4" t="s">
        <v>45</v>
      </c>
      <c r="C350" s="4">
        <v>1020</v>
      </c>
      <c r="D350" s="4">
        <v>2</v>
      </c>
      <c r="E350" s="12" t="s">
        <v>52</v>
      </c>
      <c r="F350" s="4">
        <v>2024</v>
      </c>
      <c r="G350" s="4" t="s">
        <v>32</v>
      </c>
      <c r="H350" s="4" t="s">
        <v>33</v>
      </c>
      <c r="I350" s="4" t="s">
        <v>122</v>
      </c>
      <c r="J350" s="4" t="s">
        <v>35</v>
      </c>
      <c r="K350" s="4" t="s">
        <v>244</v>
      </c>
      <c r="L350" s="4" t="s">
        <v>96</v>
      </c>
      <c r="M350" s="4" t="s">
        <v>123</v>
      </c>
      <c r="N350" s="4" t="s">
        <v>53</v>
      </c>
      <c r="O350" s="4">
        <v>17</v>
      </c>
      <c r="P350" s="4">
        <v>229</v>
      </c>
    </row>
    <row r="351" spans="1:16" hidden="1" x14ac:dyDescent="0.35">
      <c r="A351" s="4" t="s">
        <v>45</v>
      </c>
      <c r="C351" s="4">
        <v>1020</v>
      </c>
      <c r="D351" s="4">
        <v>2</v>
      </c>
      <c r="E351" s="12" t="s">
        <v>52</v>
      </c>
      <c r="F351" s="4">
        <v>2024</v>
      </c>
      <c r="G351" s="4" t="s">
        <v>32</v>
      </c>
      <c r="H351" s="4" t="s">
        <v>33</v>
      </c>
      <c r="I351" s="4" t="s">
        <v>122</v>
      </c>
      <c r="J351" s="4" t="s">
        <v>35</v>
      </c>
      <c r="K351" s="4" t="s">
        <v>244</v>
      </c>
      <c r="L351" s="4" t="s">
        <v>96</v>
      </c>
      <c r="M351" s="4" t="s">
        <v>123</v>
      </c>
      <c r="N351" s="4" t="s">
        <v>192</v>
      </c>
      <c r="O351" s="4">
        <v>9</v>
      </c>
      <c r="P351" s="4">
        <v>230</v>
      </c>
    </row>
    <row r="352" spans="1:16" hidden="1" x14ac:dyDescent="0.35">
      <c r="A352" s="4" t="s">
        <v>45</v>
      </c>
      <c r="C352" s="4">
        <v>1020</v>
      </c>
      <c r="D352" s="4">
        <v>2</v>
      </c>
      <c r="E352" s="12" t="s">
        <v>52</v>
      </c>
      <c r="F352" s="4">
        <v>2024</v>
      </c>
      <c r="G352" s="4" t="s">
        <v>32</v>
      </c>
      <c r="H352" s="4" t="s">
        <v>33</v>
      </c>
      <c r="I352" s="4" t="s">
        <v>122</v>
      </c>
      <c r="J352" s="4" t="s">
        <v>35</v>
      </c>
      <c r="K352" s="4" t="s">
        <v>244</v>
      </c>
      <c r="L352" s="4" t="s">
        <v>96</v>
      </c>
      <c r="M352" s="4" t="s">
        <v>124</v>
      </c>
      <c r="N352" s="4" t="s">
        <v>53</v>
      </c>
      <c r="O352" s="4">
        <v>6</v>
      </c>
      <c r="P352" s="4">
        <v>229</v>
      </c>
    </row>
    <row r="353" spans="1:16" hidden="1" x14ac:dyDescent="0.35">
      <c r="A353" s="4" t="s">
        <v>45</v>
      </c>
      <c r="C353" s="4">
        <v>1020</v>
      </c>
      <c r="D353" s="4">
        <v>2</v>
      </c>
      <c r="E353" s="12" t="s">
        <v>52</v>
      </c>
      <c r="F353" s="4">
        <v>2024</v>
      </c>
      <c r="G353" s="4" t="s">
        <v>32</v>
      </c>
      <c r="H353" s="4" t="s">
        <v>33</v>
      </c>
      <c r="I353" s="4" t="s">
        <v>122</v>
      </c>
      <c r="J353" s="4" t="s">
        <v>35</v>
      </c>
      <c r="K353" s="4" t="s">
        <v>244</v>
      </c>
      <c r="L353" s="4" t="s">
        <v>96</v>
      </c>
      <c r="M353" s="4" t="s">
        <v>124</v>
      </c>
      <c r="N353" s="4" t="s">
        <v>192</v>
      </c>
      <c r="O353" s="4">
        <v>0</v>
      </c>
      <c r="P353" s="4">
        <v>230</v>
      </c>
    </row>
    <row r="354" spans="1:16" hidden="1" x14ac:dyDescent="0.35">
      <c r="A354" s="4" t="s">
        <v>45</v>
      </c>
      <c r="C354" s="4">
        <v>1020</v>
      </c>
      <c r="D354" s="4">
        <v>2</v>
      </c>
      <c r="E354" s="12" t="s">
        <v>52</v>
      </c>
      <c r="F354" s="4">
        <v>2024</v>
      </c>
      <c r="G354" s="4" t="s">
        <v>32</v>
      </c>
      <c r="H354" s="4" t="s">
        <v>33</v>
      </c>
      <c r="I354" s="4" t="s">
        <v>125</v>
      </c>
      <c r="J354" s="4" t="s">
        <v>35</v>
      </c>
      <c r="K354" s="4" t="s">
        <v>244</v>
      </c>
      <c r="L354" s="4" t="s">
        <v>91</v>
      </c>
      <c r="M354" s="4" t="s">
        <v>41</v>
      </c>
      <c r="N354" s="4" t="s">
        <v>53</v>
      </c>
      <c r="O354" s="4">
        <v>44</v>
      </c>
      <c r="P354" s="4">
        <v>229</v>
      </c>
    </row>
    <row r="355" spans="1:16" hidden="1" x14ac:dyDescent="0.35">
      <c r="A355" s="4" t="s">
        <v>45</v>
      </c>
      <c r="C355" s="4">
        <v>1020</v>
      </c>
      <c r="D355" s="4">
        <v>2</v>
      </c>
      <c r="E355" s="12" t="s">
        <v>52</v>
      </c>
      <c r="F355" s="4">
        <v>2024</v>
      </c>
      <c r="G355" s="4" t="s">
        <v>32</v>
      </c>
      <c r="H355" s="4" t="s">
        <v>33</v>
      </c>
      <c r="I355" s="4" t="s">
        <v>125</v>
      </c>
      <c r="J355" s="4" t="s">
        <v>35</v>
      </c>
      <c r="K355" s="4" t="s">
        <v>244</v>
      </c>
      <c r="L355" s="4" t="s">
        <v>91</v>
      </c>
      <c r="M355" s="4" t="s">
        <v>41</v>
      </c>
      <c r="N355" s="4" t="s">
        <v>192</v>
      </c>
      <c r="O355" s="4">
        <v>22</v>
      </c>
      <c r="P355" s="4">
        <v>230</v>
      </c>
    </row>
    <row r="356" spans="1:16" hidden="1" x14ac:dyDescent="0.35">
      <c r="A356" s="4" t="s">
        <v>45</v>
      </c>
      <c r="C356" s="4">
        <v>1020</v>
      </c>
      <c r="D356" s="4">
        <v>2</v>
      </c>
      <c r="E356" s="12" t="s">
        <v>52</v>
      </c>
      <c r="F356" s="4">
        <v>2024</v>
      </c>
      <c r="G356" s="4" t="s">
        <v>32</v>
      </c>
      <c r="H356" s="4" t="s">
        <v>33</v>
      </c>
      <c r="I356" s="4" t="s">
        <v>125</v>
      </c>
      <c r="J356" s="4" t="s">
        <v>35</v>
      </c>
      <c r="K356" s="4" t="s">
        <v>244</v>
      </c>
      <c r="L356" s="4" t="s">
        <v>91</v>
      </c>
      <c r="M356" s="4" t="s">
        <v>123</v>
      </c>
      <c r="N356" s="4" t="s">
        <v>53</v>
      </c>
      <c r="O356" s="4">
        <v>32</v>
      </c>
      <c r="P356" s="4">
        <v>229</v>
      </c>
    </row>
    <row r="357" spans="1:16" hidden="1" x14ac:dyDescent="0.35">
      <c r="A357" s="4" t="s">
        <v>45</v>
      </c>
      <c r="C357" s="4">
        <v>1020</v>
      </c>
      <c r="D357" s="4">
        <v>2</v>
      </c>
      <c r="E357" s="12" t="s">
        <v>52</v>
      </c>
      <c r="F357" s="4">
        <v>2024</v>
      </c>
      <c r="G357" s="4" t="s">
        <v>32</v>
      </c>
      <c r="H357" s="4" t="s">
        <v>33</v>
      </c>
      <c r="I357" s="4" t="s">
        <v>125</v>
      </c>
      <c r="J357" s="4" t="s">
        <v>35</v>
      </c>
      <c r="K357" s="4" t="s">
        <v>244</v>
      </c>
      <c r="L357" s="4" t="s">
        <v>91</v>
      </c>
      <c r="M357" s="4" t="s">
        <v>123</v>
      </c>
      <c r="N357" s="4" t="s">
        <v>192</v>
      </c>
      <c r="O357" s="4">
        <v>19</v>
      </c>
      <c r="P357" s="4">
        <v>230</v>
      </c>
    </row>
    <row r="358" spans="1:16" hidden="1" x14ac:dyDescent="0.35">
      <c r="A358" s="4" t="s">
        <v>45</v>
      </c>
      <c r="C358" s="4">
        <v>1020</v>
      </c>
      <c r="D358" s="4">
        <v>2</v>
      </c>
      <c r="E358" s="12" t="s">
        <v>52</v>
      </c>
      <c r="F358" s="4">
        <v>2024</v>
      </c>
      <c r="G358" s="4" t="s">
        <v>32</v>
      </c>
      <c r="H358" s="4" t="s">
        <v>33</v>
      </c>
      <c r="I358" s="4" t="s">
        <v>125</v>
      </c>
      <c r="J358" s="4" t="s">
        <v>35</v>
      </c>
      <c r="K358" s="4" t="s">
        <v>244</v>
      </c>
      <c r="L358" s="4" t="s">
        <v>91</v>
      </c>
      <c r="M358" s="4" t="s">
        <v>124</v>
      </c>
      <c r="N358" s="4" t="s">
        <v>53</v>
      </c>
      <c r="O358" s="4">
        <v>10</v>
      </c>
      <c r="P358" s="4">
        <v>229</v>
      </c>
    </row>
    <row r="359" spans="1:16" hidden="1" x14ac:dyDescent="0.35">
      <c r="A359" s="4" t="s">
        <v>45</v>
      </c>
      <c r="C359" s="4">
        <v>1020</v>
      </c>
      <c r="D359" s="4">
        <v>2</v>
      </c>
      <c r="E359" s="12" t="s">
        <v>52</v>
      </c>
      <c r="F359" s="4">
        <v>2024</v>
      </c>
      <c r="G359" s="4" t="s">
        <v>32</v>
      </c>
      <c r="H359" s="4" t="s">
        <v>33</v>
      </c>
      <c r="I359" s="4" t="s">
        <v>125</v>
      </c>
      <c r="J359" s="4" t="s">
        <v>35</v>
      </c>
      <c r="K359" s="4" t="s">
        <v>244</v>
      </c>
      <c r="L359" s="4" t="s">
        <v>91</v>
      </c>
      <c r="M359" s="4" t="s">
        <v>124</v>
      </c>
      <c r="N359" s="4" t="s">
        <v>192</v>
      </c>
      <c r="O359" s="4">
        <v>2</v>
      </c>
      <c r="P359" s="4">
        <v>230</v>
      </c>
    </row>
    <row r="360" spans="1:16" hidden="1" x14ac:dyDescent="0.35">
      <c r="A360" s="4" t="s">
        <v>45</v>
      </c>
      <c r="C360" s="4">
        <v>1020</v>
      </c>
      <c r="D360" s="4">
        <v>2</v>
      </c>
      <c r="E360" s="12" t="s">
        <v>52</v>
      </c>
      <c r="F360" s="4">
        <v>2024</v>
      </c>
      <c r="G360" s="4" t="s">
        <v>32</v>
      </c>
      <c r="H360" s="4" t="s">
        <v>33</v>
      </c>
      <c r="I360" s="4" t="s">
        <v>125</v>
      </c>
      <c r="J360" s="4" t="s">
        <v>35</v>
      </c>
      <c r="K360" s="4" t="s">
        <v>244</v>
      </c>
      <c r="L360" s="4" t="s">
        <v>96</v>
      </c>
      <c r="M360" s="4" t="s">
        <v>41</v>
      </c>
      <c r="N360" s="4" t="s">
        <v>53</v>
      </c>
      <c r="O360" s="4">
        <v>31</v>
      </c>
      <c r="P360" s="4">
        <v>229</v>
      </c>
    </row>
    <row r="361" spans="1:16" hidden="1" x14ac:dyDescent="0.35">
      <c r="A361" s="4" t="s">
        <v>45</v>
      </c>
      <c r="C361" s="4">
        <v>1020</v>
      </c>
      <c r="D361" s="4">
        <v>2</v>
      </c>
      <c r="E361" s="12" t="s">
        <v>52</v>
      </c>
      <c r="F361" s="4">
        <v>2024</v>
      </c>
      <c r="G361" s="4" t="s">
        <v>32</v>
      </c>
      <c r="H361" s="4" t="s">
        <v>33</v>
      </c>
      <c r="I361" s="4" t="s">
        <v>125</v>
      </c>
      <c r="J361" s="4" t="s">
        <v>35</v>
      </c>
      <c r="K361" s="4" t="s">
        <v>244</v>
      </c>
      <c r="L361" s="4" t="s">
        <v>96</v>
      </c>
      <c r="M361" s="4" t="s">
        <v>41</v>
      </c>
      <c r="N361" s="4" t="s">
        <v>192</v>
      </c>
      <c r="O361" s="4">
        <v>13</v>
      </c>
      <c r="P361" s="4">
        <v>230</v>
      </c>
    </row>
    <row r="362" spans="1:16" hidden="1" x14ac:dyDescent="0.35">
      <c r="A362" s="4" t="s">
        <v>45</v>
      </c>
      <c r="C362" s="4">
        <v>1020</v>
      </c>
      <c r="D362" s="4">
        <v>2</v>
      </c>
      <c r="E362" s="12" t="s">
        <v>52</v>
      </c>
      <c r="F362" s="4">
        <v>2024</v>
      </c>
      <c r="G362" s="4" t="s">
        <v>32</v>
      </c>
      <c r="H362" s="4" t="s">
        <v>33</v>
      </c>
      <c r="I362" s="4" t="s">
        <v>125</v>
      </c>
      <c r="J362" s="4" t="s">
        <v>35</v>
      </c>
      <c r="K362" s="4" t="s">
        <v>244</v>
      </c>
      <c r="L362" s="4" t="s">
        <v>96</v>
      </c>
      <c r="M362" s="4" t="s">
        <v>123</v>
      </c>
      <c r="N362" s="4" t="s">
        <v>53</v>
      </c>
      <c r="O362" s="4">
        <v>23</v>
      </c>
      <c r="P362" s="4">
        <v>229</v>
      </c>
    </row>
    <row r="363" spans="1:16" hidden="1" x14ac:dyDescent="0.35">
      <c r="A363" s="4" t="s">
        <v>45</v>
      </c>
      <c r="C363" s="4">
        <v>1020</v>
      </c>
      <c r="D363" s="4">
        <v>2</v>
      </c>
      <c r="E363" s="12" t="s">
        <v>52</v>
      </c>
      <c r="F363" s="4">
        <v>2024</v>
      </c>
      <c r="G363" s="4" t="s">
        <v>32</v>
      </c>
      <c r="H363" s="4" t="s">
        <v>33</v>
      </c>
      <c r="I363" s="4" t="s">
        <v>125</v>
      </c>
      <c r="J363" s="4" t="s">
        <v>35</v>
      </c>
      <c r="K363" s="4" t="s">
        <v>244</v>
      </c>
      <c r="L363" s="4" t="s">
        <v>96</v>
      </c>
      <c r="M363" s="4" t="s">
        <v>123</v>
      </c>
      <c r="N363" s="4" t="s">
        <v>192</v>
      </c>
      <c r="O363" s="4">
        <v>11</v>
      </c>
      <c r="P363" s="4">
        <v>230</v>
      </c>
    </row>
    <row r="364" spans="1:16" hidden="1" x14ac:dyDescent="0.35">
      <c r="A364" s="4" t="s">
        <v>45</v>
      </c>
      <c r="C364" s="4">
        <v>1020</v>
      </c>
      <c r="D364" s="4">
        <v>2</v>
      </c>
      <c r="E364" s="12" t="s">
        <v>52</v>
      </c>
      <c r="F364" s="4">
        <v>2024</v>
      </c>
      <c r="G364" s="4" t="s">
        <v>32</v>
      </c>
      <c r="H364" s="4" t="s">
        <v>33</v>
      </c>
      <c r="I364" s="4" t="s">
        <v>125</v>
      </c>
      <c r="J364" s="4" t="s">
        <v>35</v>
      </c>
      <c r="K364" s="4" t="s">
        <v>244</v>
      </c>
      <c r="L364" s="4" t="s">
        <v>96</v>
      </c>
      <c r="M364" s="4" t="s">
        <v>124</v>
      </c>
      <c r="N364" s="4" t="s">
        <v>53</v>
      </c>
      <c r="O364" s="4">
        <v>5</v>
      </c>
      <c r="P364" s="4">
        <v>229</v>
      </c>
    </row>
    <row r="365" spans="1:16" hidden="1" x14ac:dyDescent="0.35">
      <c r="A365" s="4" t="s">
        <v>45</v>
      </c>
      <c r="C365" s="4">
        <v>1020</v>
      </c>
      <c r="D365" s="4">
        <v>2</v>
      </c>
      <c r="E365" s="12" t="s">
        <v>52</v>
      </c>
      <c r="F365" s="4">
        <v>2024</v>
      </c>
      <c r="G365" s="4" t="s">
        <v>32</v>
      </c>
      <c r="H365" s="4" t="s">
        <v>33</v>
      </c>
      <c r="I365" s="4" t="s">
        <v>125</v>
      </c>
      <c r="J365" s="4" t="s">
        <v>35</v>
      </c>
      <c r="K365" s="4" t="s">
        <v>244</v>
      </c>
      <c r="L365" s="4" t="s">
        <v>96</v>
      </c>
      <c r="M365" s="4" t="s">
        <v>124</v>
      </c>
      <c r="N365" s="4" t="s">
        <v>192</v>
      </c>
      <c r="O365" s="4">
        <v>1</v>
      </c>
      <c r="P365" s="4">
        <v>230</v>
      </c>
    </row>
    <row r="366" spans="1:16" hidden="1" x14ac:dyDescent="0.35">
      <c r="A366" s="4" t="s">
        <v>45</v>
      </c>
      <c r="C366" s="4">
        <v>1020</v>
      </c>
      <c r="D366" s="4">
        <v>2</v>
      </c>
      <c r="E366" s="12" t="s">
        <v>52</v>
      </c>
      <c r="F366" s="4">
        <v>2024</v>
      </c>
      <c r="G366" s="4" t="s">
        <v>32</v>
      </c>
      <c r="H366" s="4" t="s">
        <v>33</v>
      </c>
      <c r="I366" s="4" t="s">
        <v>126</v>
      </c>
      <c r="J366" s="4" t="s">
        <v>35</v>
      </c>
      <c r="K366" s="4" t="s">
        <v>244</v>
      </c>
      <c r="L366" s="4" t="s">
        <v>91</v>
      </c>
      <c r="M366" s="4" t="s">
        <v>41</v>
      </c>
      <c r="N366" s="4" t="s">
        <v>53</v>
      </c>
      <c r="O366" s="4">
        <v>2</v>
      </c>
      <c r="P366" s="4">
        <v>229</v>
      </c>
    </row>
    <row r="367" spans="1:16" hidden="1" x14ac:dyDescent="0.35">
      <c r="A367" s="4" t="s">
        <v>45</v>
      </c>
      <c r="C367" s="4">
        <v>1020</v>
      </c>
      <c r="D367" s="4">
        <v>2</v>
      </c>
      <c r="E367" s="12" t="s">
        <v>52</v>
      </c>
      <c r="F367" s="4">
        <v>2024</v>
      </c>
      <c r="G367" s="4" t="s">
        <v>32</v>
      </c>
      <c r="H367" s="4" t="s">
        <v>33</v>
      </c>
      <c r="I367" s="4" t="s">
        <v>126</v>
      </c>
      <c r="J367" s="4" t="s">
        <v>35</v>
      </c>
      <c r="K367" s="4" t="s">
        <v>244</v>
      </c>
      <c r="L367" s="4" t="s">
        <v>91</v>
      </c>
      <c r="M367" s="4" t="s">
        <v>41</v>
      </c>
      <c r="N367" s="4" t="s">
        <v>192</v>
      </c>
      <c r="O367" s="4">
        <v>0</v>
      </c>
      <c r="P367" s="4">
        <v>230</v>
      </c>
    </row>
    <row r="368" spans="1:16" hidden="1" x14ac:dyDescent="0.35">
      <c r="A368" s="4" t="s">
        <v>45</v>
      </c>
      <c r="C368" s="4">
        <v>1020</v>
      </c>
      <c r="D368" s="4">
        <v>2</v>
      </c>
      <c r="E368" s="12" t="s">
        <v>52</v>
      </c>
      <c r="F368" s="4">
        <v>2024</v>
      </c>
      <c r="G368" s="4" t="s">
        <v>32</v>
      </c>
      <c r="H368" s="4" t="s">
        <v>33</v>
      </c>
      <c r="I368" s="4" t="s">
        <v>126</v>
      </c>
      <c r="J368" s="4" t="s">
        <v>35</v>
      </c>
      <c r="K368" s="4" t="s">
        <v>244</v>
      </c>
      <c r="L368" s="4" t="s">
        <v>91</v>
      </c>
      <c r="M368" s="4" t="s">
        <v>123</v>
      </c>
      <c r="N368" s="4" t="s">
        <v>53</v>
      </c>
      <c r="O368" s="4">
        <v>2</v>
      </c>
      <c r="P368" s="4">
        <v>229</v>
      </c>
    </row>
    <row r="369" spans="1:16" hidden="1" x14ac:dyDescent="0.35">
      <c r="A369" s="4" t="s">
        <v>45</v>
      </c>
      <c r="C369" s="4">
        <v>1020</v>
      </c>
      <c r="D369" s="4">
        <v>2</v>
      </c>
      <c r="E369" s="12" t="s">
        <v>52</v>
      </c>
      <c r="F369" s="4">
        <v>2024</v>
      </c>
      <c r="G369" s="4" t="s">
        <v>32</v>
      </c>
      <c r="H369" s="4" t="s">
        <v>33</v>
      </c>
      <c r="I369" s="4" t="s">
        <v>126</v>
      </c>
      <c r="J369" s="4" t="s">
        <v>35</v>
      </c>
      <c r="K369" s="4" t="s">
        <v>244</v>
      </c>
      <c r="L369" s="4" t="s">
        <v>91</v>
      </c>
      <c r="M369" s="4" t="s">
        <v>123</v>
      </c>
      <c r="N369" s="4" t="s">
        <v>192</v>
      </c>
      <c r="O369" s="4">
        <v>0</v>
      </c>
      <c r="P369" s="4">
        <v>230</v>
      </c>
    </row>
    <row r="370" spans="1:16" hidden="1" x14ac:dyDescent="0.35">
      <c r="A370" s="4" t="s">
        <v>45</v>
      </c>
      <c r="C370" s="4">
        <v>1020</v>
      </c>
      <c r="D370" s="4">
        <v>2</v>
      </c>
      <c r="E370" s="12" t="s">
        <v>52</v>
      </c>
      <c r="F370" s="4">
        <v>2024</v>
      </c>
      <c r="G370" s="4" t="s">
        <v>32</v>
      </c>
      <c r="H370" s="4" t="s">
        <v>33</v>
      </c>
      <c r="I370" s="4" t="s">
        <v>126</v>
      </c>
      <c r="J370" s="4" t="s">
        <v>35</v>
      </c>
      <c r="K370" s="4" t="s">
        <v>244</v>
      </c>
      <c r="L370" s="4" t="s">
        <v>91</v>
      </c>
      <c r="M370" s="4" t="s">
        <v>124</v>
      </c>
      <c r="N370" s="4" t="s">
        <v>53</v>
      </c>
      <c r="O370" s="4">
        <v>0</v>
      </c>
      <c r="P370" s="4">
        <v>229</v>
      </c>
    </row>
    <row r="371" spans="1:16" hidden="1" x14ac:dyDescent="0.35">
      <c r="A371" s="4" t="s">
        <v>45</v>
      </c>
      <c r="C371" s="4">
        <v>1020</v>
      </c>
      <c r="D371" s="4">
        <v>2</v>
      </c>
      <c r="E371" s="12" t="s">
        <v>52</v>
      </c>
      <c r="F371" s="4">
        <v>2024</v>
      </c>
      <c r="G371" s="4" t="s">
        <v>32</v>
      </c>
      <c r="H371" s="4" t="s">
        <v>33</v>
      </c>
      <c r="I371" s="4" t="s">
        <v>126</v>
      </c>
      <c r="J371" s="4" t="s">
        <v>35</v>
      </c>
      <c r="K371" s="4" t="s">
        <v>244</v>
      </c>
      <c r="L371" s="4" t="s">
        <v>91</v>
      </c>
      <c r="M371" s="4" t="s">
        <v>124</v>
      </c>
      <c r="N371" s="4" t="s">
        <v>192</v>
      </c>
      <c r="O371" s="4">
        <v>0</v>
      </c>
      <c r="P371" s="4">
        <v>230</v>
      </c>
    </row>
    <row r="372" spans="1:16" hidden="1" x14ac:dyDescent="0.35">
      <c r="A372" s="4" t="s">
        <v>45</v>
      </c>
      <c r="C372" s="4">
        <v>1020</v>
      </c>
      <c r="D372" s="4">
        <v>2</v>
      </c>
      <c r="E372" s="12" t="s">
        <v>52</v>
      </c>
      <c r="F372" s="4">
        <v>2024</v>
      </c>
      <c r="G372" s="4" t="s">
        <v>32</v>
      </c>
      <c r="H372" s="4" t="s">
        <v>33</v>
      </c>
      <c r="I372" s="4" t="s">
        <v>126</v>
      </c>
      <c r="J372" s="4" t="s">
        <v>35</v>
      </c>
      <c r="K372" s="4" t="s">
        <v>244</v>
      </c>
      <c r="L372" s="4" t="s">
        <v>96</v>
      </c>
      <c r="M372" s="4" t="s">
        <v>41</v>
      </c>
      <c r="N372" s="4" t="s">
        <v>53</v>
      </c>
      <c r="O372" s="4">
        <v>0</v>
      </c>
      <c r="P372" s="4">
        <v>229</v>
      </c>
    </row>
    <row r="373" spans="1:16" hidden="1" x14ac:dyDescent="0.35">
      <c r="A373" s="4" t="s">
        <v>45</v>
      </c>
      <c r="C373" s="4">
        <v>1020</v>
      </c>
      <c r="D373" s="4">
        <v>2</v>
      </c>
      <c r="E373" s="12" t="s">
        <v>52</v>
      </c>
      <c r="F373" s="4">
        <v>2024</v>
      </c>
      <c r="G373" s="4" t="s">
        <v>32</v>
      </c>
      <c r="H373" s="4" t="s">
        <v>33</v>
      </c>
      <c r="I373" s="4" t="s">
        <v>126</v>
      </c>
      <c r="J373" s="4" t="s">
        <v>35</v>
      </c>
      <c r="K373" s="4" t="s">
        <v>244</v>
      </c>
      <c r="L373" s="4" t="s">
        <v>96</v>
      </c>
      <c r="M373" s="4" t="s">
        <v>41</v>
      </c>
      <c r="N373" s="4" t="s">
        <v>192</v>
      </c>
      <c r="O373" s="4">
        <v>0</v>
      </c>
      <c r="P373" s="4">
        <v>230</v>
      </c>
    </row>
    <row r="374" spans="1:16" hidden="1" x14ac:dyDescent="0.35">
      <c r="A374" s="4" t="s">
        <v>45</v>
      </c>
      <c r="C374" s="4">
        <v>1020</v>
      </c>
      <c r="D374" s="4">
        <v>2</v>
      </c>
      <c r="E374" s="12" t="s">
        <v>52</v>
      </c>
      <c r="F374" s="4">
        <v>2024</v>
      </c>
      <c r="G374" s="4" t="s">
        <v>32</v>
      </c>
      <c r="H374" s="4" t="s">
        <v>33</v>
      </c>
      <c r="I374" s="4" t="s">
        <v>126</v>
      </c>
      <c r="J374" s="4" t="s">
        <v>35</v>
      </c>
      <c r="K374" s="4" t="s">
        <v>244</v>
      </c>
      <c r="L374" s="4" t="s">
        <v>96</v>
      </c>
      <c r="M374" s="4" t="s">
        <v>123</v>
      </c>
      <c r="N374" s="4" t="s">
        <v>53</v>
      </c>
      <c r="O374" s="4">
        <v>0</v>
      </c>
      <c r="P374" s="4">
        <v>229</v>
      </c>
    </row>
    <row r="375" spans="1:16" hidden="1" x14ac:dyDescent="0.35">
      <c r="A375" s="4" t="s">
        <v>45</v>
      </c>
      <c r="C375" s="4">
        <v>1020</v>
      </c>
      <c r="D375" s="4">
        <v>2</v>
      </c>
      <c r="E375" s="12" t="s">
        <v>52</v>
      </c>
      <c r="F375" s="4">
        <v>2024</v>
      </c>
      <c r="G375" s="4" t="s">
        <v>32</v>
      </c>
      <c r="H375" s="4" t="s">
        <v>33</v>
      </c>
      <c r="I375" s="4" t="s">
        <v>126</v>
      </c>
      <c r="J375" s="4" t="s">
        <v>35</v>
      </c>
      <c r="K375" s="4" t="s">
        <v>244</v>
      </c>
      <c r="L375" s="4" t="s">
        <v>96</v>
      </c>
      <c r="M375" s="4" t="s">
        <v>123</v>
      </c>
      <c r="N375" s="4" t="s">
        <v>192</v>
      </c>
      <c r="O375" s="4">
        <v>0</v>
      </c>
      <c r="P375" s="4">
        <v>230</v>
      </c>
    </row>
    <row r="376" spans="1:16" hidden="1" x14ac:dyDescent="0.35">
      <c r="A376" s="4" t="s">
        <v>45</v>
      </c>
      <c r="C376" s="4">
        <v>1020</v>
      </c>
      <c r="D376" s="4">
        <v>2</v>
      </c>
      <c r="E376" s="12" t="s">
        <v>52</v>
      </c>
      <c r="F376" s="4">
        <v>2024</v>
      </c>
      <c r="G376" s="4" t="s">
        <v>32</v>
      </c>
      <c r="H376" s="4" t="s">
        <v>33</v>
      </c>
      <c r="I376" s="4" t="s">
        <v>126</v>
      </c>
      <c r="J376" s="4" t="s">
        <v>35</v>
      </c>
      <c r="K376" s="4" t="s">
        <v>244</v>
      </c>
      <c r="L376" s="4" t="s">
        <v>96</v>
      </c>
      <c r="M376" s="4" t="s">
        <v>124</v>
      </c>
      <c r="N376" s="4" t="s">
        <v>53</v>
      </c>
      <c r="O376" s="4">
        <v>0</v>
      </c>
      <c r="P376" s="4">
        <v>229</v>
      </c>
    </row>
    <row r="377" spans="1:16" hidden="1" x14ac:dyDescent="0.35">
      <c r="A377" s="4" t="s">
        <v>45</v>
      </c>
      <c r="C377" s="4">
        <v>1020</v>
      </c>
      <c r="D377" s="4">
        <v>2</v>
      </c>
      <c r="E377" s="12" t="s">
        <v>52</v>
      </c>
      <c r="F377" s="4">
        <v>2024</v>
      </c>
      <c r="G377" s="4" t="s">
        <v>32</v>
      </c>
      <c r="H377" s="4" t="s">
        <v>33</v>
      </c>
      <c r="I377" s="4" t="s">
        <v>126</v>
      </c>
      <c r="J377" s="4" t="s">
        <v>35</v>
      </c>
      <c r="K377" s="4" t="s">
        <v>244</v>
      </c>
      <c r="L377" s="4" t="s">
        <v>89</v>
      </c>
      <c r="M377" s="4" t="s">
        <v>124</v>
      </c>
      <c r="N377" s="4" t="s">
        <v>192</v>
      </c>
      <c r="O377" s="4">
        <v>0</v>
      </c>
      <c r="P377" s="4">
        <v>230</v>
      </c>
    </row>
    <row r="378" spans="1:16" hidden="1" x14ac:dyDescent="0.35">
      <c r="A378" s="4" t="s">
        <v>45</v>
      </c>
      <c r="C378" s="4">
        <v>1020</v>
      </c>
      <c r="D378" s="4">
        <v>2</v>
      </c>
      <c r="E378" s="12" t="s">
        <v>52</v>
      </c>
      <c r="F378" s="4">
        <v>2024</v>
      </c>
      <c r="G378" s="4" t="s">
        <v>32</v>
      </c>
      <c r="H378" s="4" t="s">
        <v>120</v>
      </c>
      <c r="I378" s="4" t="s">
        <v>88</v>
      </c>
      <c r="K378" s="4" t="s">
        <v>244</v>
      </c>
      <c r="L378" s="4" t="s">
        <v>98</v>
      </c>
      <c r="M378" s="4" t="s">
        <v>41</v>
      </c>
      <c r="N378" s="4" t="s">
        <v>53</v>
      </c>
      <c r="O378" s="4">
        <v>73</v>
      </c>
      <c r="P378" s="4">
        <v>178</v>
      </c>
    </row>
    <row r="379" spans="1:16" hidden="1" x14ac:dyDescent="0.35">
      <c r="A379" s="4" t="s">
        <v>45</v>
      </c>
      <c r="C379" s="4">
        <v>1020</v>
      </c>
      <c r="D379" s="4">
        <v>2</v>
      </c>
      <c r="E379" s="12" t="s">
        <v>52</v>
      </c>
      <c r="F379" s="4">
        <v>2024</v>
      </c>
      <c r="G379" s="4" t="s">
        <v>32</v>
      </c>
      <c r="H379" s="4" t="s">
        <v>120</v>
      </c>
      <c r="I379" s="4" t="s">
        <v>88</v>
      </c>
      <c r="K379" s="4" t="s">
        <v>244</v>
      </c>
      <c r="L379" s="4" t="s">
        <v>98</v>
      </c>
      <c r="M379" s="4" t="s">
        <v>41</v>
      </c>
      <c r="N379" s="4" t="s">
        <v>192</v>
      </c>
      <c r="O379" s="4">
        <v>69</v>
      </c>
      <c r="P379" s="4">
        <v>178</v>
      </c>
    </row>
    <row r="380" spans="1:16" hidden="1" x14ac:dyDescent="0.35">
      <c r="A380" s="4" t="s">
        <v>45</v>
      </c>
      <c r="C380" s="4">
        <v>1020</v>
      </c>
      <c r="D380" s="4">
        <v>2</v>
      </c>
      <c r="E380" s="12" t="s">
        <v>52</v>
      </c>
      <c r="F380" s="4">
        <v>2024</v>
      </c>
      <c r="G380" s="4" t="s">
        <v>32</v>
      </c>
      <c r="H380" s="4" t="s">
        <v>120</v>
      </c>
      <c r="I380" s="4" t="s">
        <v>88</v>
      </c>
      <c r="K380" s="4" t="s">
        <v>244</v>
      </c>
      <c r="L380" s="4" t="s">
        <v>96</v>
      </c>
      <c r="M380" s="4" t="s">
        <v>41</v>
      </c>
      <c r="N380" s="4" t="s">
        <v>53</v>
      </c>
      <c r="O380" s="4">
        <v>21</v>
      </c>
      <c r="P380" s="4">
        <v>178</v>
      </c>
    </row>
    <row r="381" spans="1:16" hidden="1" x14ac:dyDescent="0.35">
      <c r="A381" s="4" t="s">
        <v>45</v>
      </c>
      <c r="C381" s="4">
        <v>1020</v>
      </c>
      <c r="D381" s="4">
        <v>2</v>
      </c>
      <c r="E381" s="12" t="s">
        <v>52</v>
      </c>
      <c r="F381" s="4">
        <v>2024</v>
      </c>
      <c r="G381" s="4" t="s">
        <v>32</v>
      </c>
      <c r="H381" s="4" t="s">
        <v>120</v>
      </c>
      <c r="I381" s="4" t="s">
        <v>88</v>
      </c>
      <c r="K381" s="4" t="s">
        <v>244</v>
      </c>
      <c r="L381" s="4" t="s">
        <v>96</v>
      </c>
      <c r="M381" s="4" t="s">
        <v>41</v>
      </c>
      <c r="N381" s="4" t="s">
        <v>192</v>
      </c>
      <c r="O381" s="4">
        <v>21</v>
      </c>
      <c r="P381" s="4">
        <v>178</v>
      </c>
    </row>
    <row r="382" spans="1:16" hidden="1" x14ac:dyDescent="0.35">
      <c r="A382" s="4" t="s">
        <v>45</v>
      </c>
      <c r="C382" s="4">
        <v>1130</v>
      </c>
      <c r="D382" s="4">
        <v>3</v>
      </c>
      <c r="E382" s="12" t="s">
        <v>94</v>
      </c>
      <c r="F382" s="4">
        <v>2023</v>
      </c>
      <c r="G382" s="4" t="s">
        <v>32</v>
      </c>
      <c r="H382" s="4" t="s">
        <v>87</v>
      </c>
      <c r="I382" s="4" t="s">
        <v>116</v>
      </c>
      <c r="J382" s="4" t="s">
        <v>35</v>
      </c>
      <c r="K382" s="4" t="s">
        <v>244</v>
      </c>
      <c r="L382" s="4" t="s">
        <v>91</v>
      </c>
      <c r="M382" s="4" t="s">
        <v>41</v>
      </c>
      <c r="N382" s="4" t="s">
        <v>95</v>
      </c>
      <c r="O382" s="4">
        <v>151</v>
      </c>
      <c r="P382" s="4">
        <v>401</v>
      </c>
    </row>
    <row r="383" spans="1:16" hidden="1" x14ac:dyDescent="0.35">
      <c r="A383" s="4" t="s">
        <v>45</v>
      </c>
      <c r="C383" s="4">
        <v>1130</v>
      </c>
      <c r="D383" s="4">
        <v>3</v>
      </c>
      <c r="E383" s="12" t="s">
        <v>94</v>
      </c>
      <c r="F383" s="4">
        <v>2023</v>
      </c>
      <c r="G383" s="4" t="s">
        <v>32</v>
      </c>
      <c r="H383" s="4" t="s">
        <v>87</v>
      </c>
      <c r="I383" s="4" t="s">
        <v>116</v>
      </c>
      <c r="J383" s="4" t="s">
        <v>35</v>
      </c>
      <c r="K383" s="4" t="s">
        <v>244</v>
      </c>
      <c r="L383" s="4" t="s">
        <v>91</v>
      </c>
      <c r="M383" s="4" t="s">
        <v>41</v>
      </c>
      <c r="N383" s="4" t="s">
        <v>192</v>
      </c>
      <c r="O383" s="4">
        <v>125</v>
      </c>
      <c r="P383" s="4">
        <v>398</v>
      </c>
    </row>
    <row r="384" spans="1:16" hidden="1" x14ac:dyDescent="0.35">
      <c r="A384" s="4" t="s">
        <v>45</v>
      </c>
      <c r="C384" s="4">
        <v>1130</v>
      </c>
      <c r="D384" s="4">
        <v>3</v>
      </c>
      <c r="E384" s="12" t="s">
        <v>94</v>
      </c>
      <c r="F384" s="4">
        <v>2023</v>
      </c>
      <c r="G384" s="4" t="s">
        <v>32</v>
      </c>
      <c r="H384" s="4" t="s">
        <v>87</v>
      </c>
      <c r="I384" s="4" t="s">
        <v>119</v>
      </c>
      <c r="J384" s="4" t="s">
        <v>35</v>
      </c>
      <c r="K384" s="4" t="s">
        <v>244</v>
      </c>
      <c r="L384" s="4" t="s">
        <v>91</v>
      </c>
      <c r="M384" s="4" t="s">
        <v>41</v>
      </c>
      <c r="N384" s="4" t="s">
        <v>95</v>
      </c>
      <c r="O384" s="4">
        <v>23</v>
      </c>
      <c r="P384" s="4">
        <v>401</v>
      </c>
    </row>
    <row r="385" spans="1:16" hidden="1" x14ac:dyDescent="0.35">
      <c r="A385" s="4" t="s">
        <v>45</v>
      </c>
      <c r="C385" s="4">
        <v>1130</v>
      </c>
      <c r="D385" s="4">
        <v>3</v>
      </c>
      <c r="E385" s="12" t="s">
        <v>94</v>
      </c>
      <c r="F385" s="4">
        <v>2023</v>
      </c>
      <c r="G385" s="4" t="s">
        <v>32</v>
      </c>
      <c r="H385" s="4" t="s">
        <v>87</v>
      </c>
      <c r="I385" s="4" t="s">
        <v>119</v>
      </c>
      <c r="J385" s="4" t="s">
        <v>35</v>
      </c>
      <c r="K385" s="4" t="s">
        <v>244</v>
      </c>
      <c r="L385" s="4" t="s">
        <v>91</v>
      </c>
      <c r="M385" s="4" t="s">
        <v>41</v>
      </c>
      <c r="N385" s="4" t="s">
        <v>192</v>
      </c>
      <c r="O385" s="4">
        <v>15</v>
      </c>
      <c r="P385" s="4">
        <v>398</v>
      </c>
    </row>
    <row r="386" spans="1:16" hidden="1" x14ac:dyDescent="0.35">
      <c r="A386" s="4" t="s">
        <v>45</v>
      </c>
      <c r="C386" s="4">
        <v>1130</v>
      </c>
      <c r="D386" s="4">
        <v>3</v>
      </c>
      <c r="E386" s="12" t="s">
        <v>94</v>
      </c>
      <c r="F386" s="4">
        <v>2023</v>
      </c>
      <c r="G386" s="4" t="s">
        <v>32</v>
      </c>
      <c r="H386" s="4" t="s">
        <v>87</v>
      </c>
      <c r="I386" s="4" t="s">
        <v>127</v>
      </c>
      <c r="J386" s="4" t="s">
        <v>35</v>
      </c>
      <c r="K386" s="4" t="s">
        <v>244</v>
      </c>
      <c r="L386" s="4" t="s">
        <v>91</v>
      </c>
      <c r="M386" s="4" t="s">
        <v>41</v>
      </c>
      <c r="N386" s="4" t="s">
        <v>95</v>
      </c>
      <c r="O386" s="4">
        <v>48</v>
      </c>
      <c r="P386" s="4">
        <v>401</v>
      </c>
    </row>
    <row r="387" spans="1:16" hidden="1" x14ac:dyDescent="0.35">
      <c r="A387" s="4" t="s">
        <v>45</v>
      </c>
      <c r="C387" s="4">
        <v>1130</v>
      </c>
      <c r="D387" s="4">
        <v>3</v>
      </c>
      <c r="E387" s="12" t="s">
        <v>94</v>
      </c>
      <c r="F387" s="4">
        <v>2023</v>
      </c>
      <c r="G387" s="4" t="s">
        <v>32</v>
      </c>
      <c r="H387" s="4" t="s">
        <v>87</v>
      </c>
      <c r="I387" s="4" t="s">
        <v>122</v>
      </c>
      <c r="J387" s="4" t="s">
        <v>35</v>
      </c>
      <c r="K387" s="4" t="s">
        <v>244</v>
      </c>
      <c r="L387" s="4" t="s">
        <v>91</v>
      </c>
      <c r="M387" s="4" t="s">
        <v>41</v>
      </c>
      <c r="N387" s="4" t="s">
        <v>192</v>
      </c>
      <c r="O387" s="4">
        <v>24</v>
      </c>
      <c r="P387" s="4">
        <v>398</v>
      </c>
    </row>
    <row r="388" spans="1:16" hidden="1" x14ac:dyDescent="0.35">
      <c r="A388" s="4" t="s">
        <v>45</v>
      </c>
      <c r="C388" s="4">
        <v>1130</v>
      </c>
      <c r="D388" s="4">
        <v>3</v>
      </c>
      <c r="E388" s="12" t="s">
        <v>94</v>
      </c>
      <c r="F388" s="4">
        <v>2023</v>
      </c>
      <c r="G388" s="4" t="s">
        <v>32</v>
      </c>
      <c r="H388" s="4" t="s">
        <v>87</v>
      </c>
      <c r="I388" s="4" t="s">
        <v>128</v>
      </c>
      <c r="J388" s="4" t="s">
        <v>35</v>
      </c>
      <c r="K388" s="4" t="s">
        <v>244</v>
      </c>
      <c r="L388" s="4" t="s">
        <v>91</v>
      </c>
      <c r="M388" s="4" t="s">
        <v>41</v>
      </c>
      <c r="N388" s="4" t="s">
        <v>95</v>
      </c>
      <c r="O388" s="4">
        <v>7</v>
      </c>
      <c r="P388" s="4">
        <v>401</v>
      </c>
    </row>
    <row r="389" spans="1:16" hidden="1" x14ac:dyDescent="0.35">
      <c r="A389" s="4" t="s">
        <v>45</v>
      </c>
      <c r="C389" s="4">
        <v>1130</v>
      </c>
      <c r="D389" s="4">
        <v>3</v>
      </c>
      <c r="E389" s="12" t="s">
        <v>94</v>
      </c>
      <c r="F389" s="4">
        <v>2023</v>
      </c>
      <c r="G389" s="4" t="s">
        <v>32</v>
      </c>
      <c r="H389" s="4" t="s">
        <v>87</v>
      </c>
      <c r="I389" s="4" t="s">
        <v>128</v>
      </c>
      <c r="J389" s="4" t="s">
        <v>35</v>
      </c>
      <c r="K389" s="4" t="s">
        <v>244</v>
      </c>
      <c r="L389" s="4" t="s">
        <v>91</v>
      </c>
      <c r="M389" s="4" t="s">
        <v>41</v>
      </c>
      <c r="N389" s="4" t="s">
        <v>192</v>
      </c>
      <c r="O389" s="4">
        <v>4</v>
      </c>
      <c r="P389" s="4">
        <v>398</v>
      </c>
    </row>
    <row r="390" spans="1:16" hidden="1" x14ac:dyDescent="0.35">
      <c r="A390" s="4" t="s">
        <v>45</v>
      </c>
      <c r="C390" s="4">
        <v>1130</v>
      </c>
      <c r="D390" s="4">
        <v>3</v>
      </c>
      <c r="E390" s="12" t="s">
        <v>94</v>
      </c>
      <c r="F390" s="4">
        <v>2023</v>
      </c>
      <c r="G390" s="4" t="s">
        <v>32</v>
      </c>
      <c r="H390" s="4" t="s">
        <v>33</v>
      </c>
      <c r="I390" s="4" t="s">
        <v>88</v>
      </c>
      <c r="J390" s="4" t="s">
        <v>35</v>
      </c>
      <c r="K390" s="4" t="s">
        <v>244</v>
      </c>
      <c r="L390" s="4" t="s">
        <v>98</v>
      </c>
      <c r="M390" s="4" t="s">
        <v>41</v>
      </c>
      <c r="N390" s="4" t="s">
        <v>95</v>
      </c>
      <c r="O390" s="4">
        <v>348</v>
      </c>
      <c r="P390" s="4">
        <v>401</v>
      </c>
    </row>
    <row r="391" spans="1:16" hidden="1" x14ac:dyDescent="0.35">
      <c r="A391" s="4" t="s">
        <v>45</v>
      </c>
      <c r="C391" s="4">
        <v>1130</v>
      </c>
      <c r="D391" s="4">
        <v>3</v>
      </c>
      <c r="E391" s="12" t="s">
        <v>94</v>
      </c>
      <c r="F391" s="4">
        <v>2023</v>
      </c>
      <c r="G391" s="4" t="s">
        <v>32</v>
      </c>
      <c r="H391" s="4" t="s">
        <v>33</v>
      </c>
      <c r="I391" s="4" t="s">
        <v>88</v>
      </c>
      <c r="J391" s="4" t="s">
        <v>35</v>
      </c>
      <c r="K391" s="4" t="s">
        <v>244</v>
      </c>
      <c r="L391" s="4" t="s">
        <v>98</v>
      </c>
      <c r="M391" s="4" t="s">
        <v>41</v>
      </c>
      <c r="N391" s="4" t="s">
        <v>192</v>
      </c>
      <c r="O391" s="4">
        <v>321</v>
      </c>
      <c r="P391" s="4">
        <v>398</v>
      </c>
    </row>
    <row r="392" spans="1:16" hidden="1" x14ac:dyDescent="0.35">
      <c r="A392" s="4" t="s">
        <v>45</v>
      </c>
      <c r="C392" s="4">
        <v>1130</v>
      </c>
      <c r="D392" s="4">
        <v>3</v>
      </c>
      <c r="E392" s="12" t="s">
        <v>94</v>
      </c>
      <c r="F392" s="4">
        <v>2023</v>
      </c>
      <c r="G392" s="4" t="s">
        <v>32</v>
      </c>
      <c r="H392" s="4" t="s">
        <v>33</v>
      </c>
      <c r="I392" s="4" t="s">
        <v>35</v>
      </c>
      <c r="J392" s="4" t="s">
        <v>35</v>
      </c>
      <c r="K392" s="4" t="s">
        <v>244</v>
      </c>
      <c r="L392" s="4" t="s">
        <v>89</v>
      </c>
      <c r="M392" s="4" t="s">
        <v>41</v>
      </c>
      <c r="N392" s="4" t="s">
        <v>95</v>
      </c>
      <c r="O392" s="4">
        <v>130</v>
      </c>
      <c r="P392" s="4">
        <v>401</v>
      </c>
    </row>
    <row r="393" spans="1:16" hidden="1" x14ac:dyDescent="0.35">
      <c r="A393" s="4" t="s">
        <v>45</v>
      </c>
      <c r="C393" s="4">
        <v>1130</v>
      </c>
      <c r="D393" s="4">
        <v>3</v>
      </c>
      <c r="E393" s="12" t="s">
        <v>94</v>
      </c>
      <c r="F393" s="4">
        <v>2023</v>
      </c>
      <c r="G393" s="4" t="s">
        <v>32</v>
      </c>
      <c r="H393" s="4" t="s">
        <v>33</v>
      </c>
      <c r="I393" s="4" t="s">
        <v>35</v>
      </c>
      <c r="J393" s="4" t="s">
        <v>35</v>
      </c>
      <c r="K393" s="4" t="s">
        <v>244</v>
      </c>
      <c r="L393" s="4" t="s">
        <v>96</v>
      </c>
      <c r="M393" s="4" t="s">
        <v>41</v>
      </c>
      <c r="N393" s="4" t="s">
        <v>192</v>
      </c>
      <c r="O393" s="4">
        <v>131</v>
      </c>
      <c r="P393" s="4">
        <v>398</v>
      </c>
    </row>
    <row r="394" spans="1:16" hidden="1" x14ac:dyDescent="0.35">
      <c r="A394" s="4" t="s">
        <v>45</v>
      </c>
      <c r="C394" s="4">
        <v>1130</v>
      </c>
      <c r="D394" s="4">
        <v>3</v>
      </c>
      <c r="E394" s="12" t="s">
        <v>94</v>
      </c>
      <c r="F394" s="4">
        <v>2023</v>
      </c>
      <c r="G394" s="4" t="s">
        <v>32</v>
      </c>
      <c r="H394" s="4" t="s">
        <v>33</v>
      </c>
      <c r="I394" s="4" t="s">
        <v>119</v>
      </c>
      <c r="J394" s="4" t="s">
        <v>35</v>
      </c>
      <c r="K394" s="4" t="s">
        <v>244</v>
      </c>
      <c r="L394" s="4" t="s">
        <v>91</v>
      </c>
      <c r="M394" s="4" t="s">
        <v>41</v>
      </c>
      <c r="N394" s="4" t="s">
        <v>95</v>
      </c>
      <c r="O394" s="4">
        <v>7</v>
      </c>
      <c r="P394" s="4">
        <v>401</v>
      </c>
    </row>
    <row r="395" spans="1:16" hidden="1" x14ac:dyDescent="0.35">
      <c r="A395" s="4" t="s">
        <v>45</v>
      </c>
      <c r="C395" s="4">
        <v>1130</v>
      </c>
      <c r="D395" s="4">
        <v>3</v>
      </c>
      <c r="E395" s="12" t="s">
        <v>94</v>
      </c>
      <c r="F395" s="4">
        <v>2023</v>
      </c>
      <c r="G395" s="4" t="s">
        <v>32</v>
      </c>
      <c r="H395" s="4" t="s">
        <v>33</v>
      </c>
      <c r="I395" s="4" t="s">
        <v>119</v>
      </c>
      <c r="J395" s="4" t="s">
        <v>35</v>
      </c>
      <c r="K395" s="4" t="s">
        <v>244</v>
      </c>
      <c r="L395" s="4" t="s">
        <v>91</v>
      </c>
      <c r="M395" s="4" t="s">
        <v>41</v>
      </c>
      <c r="N395" s="4" t="s">
        <v>192</v>
      </c>
      <c r="O395" s="4">
        <v>2</v>
      </c>
      <c r="P395" s="4">
        <v>398</v>
      </c>
    </row>
    <row r="396" spans="1:16" hidden="1" x14ac:dyDescent="0.35">
      <c r="A396" s="4" t="s">
        <v>45</v>
      </c>
      <c r="C396" s="4">
        <v>1100</v>
      </c>
      <c r="D396" s="4">
        <v>4</v>
      </c>
      <c r="E396" s="12" t="s">
        <v>24</v>
      </c>
      <c r="F396" s="4">
        <v>2024</v>
      </c>
      <c r="G396" s="4" t="s">
        <v>32</v>
      </c>
      <c r="H396" s="4" t="s">
        <v>33</v>
      </c>
      <c r="I396" s="4" t="s">
        <v>35</v>
      </c>
      <c r="J396" s="4" t="s">
        <v>35</v>
      </c>
      <c r="K396" s="4" t="s">
        <v>244</v>
      </c>
      <c r="L396" s="4" t="s">
        <v>89</v>
      </c>
      <c r="M396" s="4" t="s">
        <v>37</v>
      </c>
      <c r="N396" s="4" t="s">
        <v>60</v>
      </c>
      <c r="O396" s="4">
        <v>179</v>
      </c>
      <c r="P396" s="4">
        <v>396</v>
      </c>
    </row>
    <row r="397" spans="1:16" hidden="1" x14ac:dyDescent="0.35">
      <c r="A397" s="4" t="s">
        <v>45</v>
      </c>
      <c r="C397" s="4">
        <v>1100</v>
      </c>
      <c r="D397" s="4">
        <v>4</v>
      </c>
      <c r="E397" s="12" t="s">
        <v>24</v>
      </c>
      <c r="F397" s="4">
        <v>2024</v>
      </c>
      <c r="G397" s="4" t="s">
        <v>32</v>
      </c>
      <c r="H397" s="4" t="s">
        <v>33</v>
      </c>
      <c r="I397" s="4" t="s">
        <v>35</v>
      </c>
      <c r="J397" s="4" t="s">
        <v>35</v>
      </c>
      <c r="K397" s="4" t="s">
        <v>244</v>
      </c>
      <c r="L397" s="4" t="s">
        <v>96</v>
      </c>
      <c r="M397" s="4" t="s">
        <v>37</v>
      </c>
      <c r="N397" s="4" t="s">
        <v>192</v>
      </c>
      <c r="O397" s="4">
        <v>151</v>
      </c>
      <c r="P397" s="4">
        <v>399</v>
      </c>
    </row>
    <row r="398" spans="1:16" hidden="1" x14ac:dyDescent="0.35">
      <c r="A398" s="4" t="s">
        <v>45</v>
      </c>
      <c r="C398" s="4">
        <v>1100</v>
      </c>
      <c r="D398" s="4">
        <v>4</v>
      </c>
      <c r="E398" s="12" t="s">
        <v>24</v>
      </c>
      <c r="F398" s="4">
        <v>2024</v>
      </c>
      <c r="G398" s="4" t="s">
        <v>32</v>
      </c>
      <c r="H398" s="4" t="s">
        <v>33</v>
      </c>
      <c r="I398" s="4" t="s">
        <v>116</v>
      </c>
      <c r="J398" s="4" t="s">
        <v>35</v>
      </c>
      <c r="K398" s="4" t="s">
        <v>244</v>
      </c>
      <c r="L398" s="4" t="s">
        <v>91</v>
      </c>
      <c r="M398" s="4" t="s">
        <v>37</v>
      </c>
      <c r="N398" s="4" t="s">
        <v>60</v>
      </c>
      <c r="O398" s="4">
        <v>73</v>
      </c>
      <c r="P398" s="4">
        <v>396</v>
      </c>
    </row>
    <row r="399" spans="1:16" hidden="1" x14ac:dyDescent="0.35">
      <c r="A399" s="4" t="s">
        <v>45</v>
      </c>
      <c r="C399" s="4">
        <v>1100</v>
      </c>
      <c r="D399" s="4">
        <v>4</v>
      </c>
      <c r="E399" s="12" t="s">
        <v>24</v>
      </c>
      <c r="F399" s="4">
        <v>2024</v>
      </c>
      <c r="G399" s="4" t="s">
        <v>32</v>
      </c>
      <c r="H399" s="4" t="s">
        <v>33</v>
      </c>
      <c r="I399" s="4" t="s">
        <v>116</v>
      </c>
      <c r="J399" s="4" t="s">
        <v>35</v>
      </c>
      <c r="K399" s="4" t="s">
        <v>244</v>
      </c>
      <c r="L399" s="4" t="s">
        <v>91</v>
      </c>
      <c r="M399" s="4" t="s">
        <v>37</v>
      </c>
      <c r="N399" s="4" t="s">
        <v>192</v>
      </c>
      <c r="O399" s="4">
        <v>58</v>
      </c>
      <c r="P399" s="4">
        <v>399</v>
      </c>
    </row>
    <row r="400" spans="1:16" hidden="1" x14ac:dyDescent="0.35">
      <c r="A400" s="4" t="s">
        <v>45</v>
      </c>
      <c r="C400" s="4">
        <v>1100</v>
      </c>
      <c r="D400" s="4">
        <v>4</v>
      </c>
      <c r="E400" s="12" t="s">
        <v>24</v>
      </c>
      <c r="F400" s="4">
        <v>2024</v>
      </c>
      <c r="G400" s="4" t="s">
        <v>32</v>
      </c>
      <c r="H400" s="4" t="s">
        <v>33</v>
      </c>
      <c r="I400" s="4" t="s">
        <v>119</v>
      </c>
      <c r="J400" s="4" t="s">
        <v>35</v>
      </c>
      <c r="K400" s="4" t="s">
        <v>244</v>
      </c>
      <c r="L400" s="4" t="s">
        <v>91</v>
      </c>
      <c r="M400" s="4" t="s">
        <v>37</v>
      </c>
      <c r="N400" s="4" t="s">
        <v>60</v>
      </c>
      <c r="O400" s="4">
        <v>4</v>
      </c>
      <c r="P400" s="4">
        <v>396</v>
      </c>
    </row>
    <row r="401" spans="1:16" hidden="1" x14ac:dyDescent="0.35">
      <c r="A401" s="4" t="s">
        <v>45</v>
      </c>
      <c r="C401" s="4">
        <v>1100</v>
      </c>
      <c r="D401" s="4">
        <v>4</v>
      </c>
      <c r="E401" s="12" t="s">
        <v>24</v>
      </c>
      <c r="F401" s="4">
        <v>2024</v>
      </c>
      <c r="G401" s="4" t="s">
        <v>32</v>
      </c>
      <c r="H401" s="4" t="s">
        <v>33</v>
      </c>
      <c r="I401" s="4" t="s">
        <v>119</v>
      </c>
      <c r="J401" s="4" t="s">
        <v>35</v>
      </c>
      <c r="K401" s="4" t="s">
        <v>244</v>
      </c>
      <c r="L401" s="4" t="s">
        <v>91</v>
      </c>
      <c r="M401" s="4" t="s">
        <v>37</v>
      </c>
      <c r="N401" s="4" t="s">
        <v>192</v>
      </c>
      <c r="O401" s="4">
        <v>3</v>
      </c>
      <c r="P401" s="4">
        <v>399</v>
      </c>
    </row>
    <row r="402" spans="1:16" hidden="1" x14ac:dyDescent="0.35">
      <c r="A402" s="4" t="s">
        <v>45</v>
      </c>
      <c r="C402" s="4">
        <v>1100</v>
      </c>
      <c r="D402" s="4">
        <v>4</v>
      </c>
      <c r="E402" s="12" t="s">
        <v>24</v>
      </c>
      <c r="F402" s="4">
        <v>2024</v>
      </c>
      <c r="G402" s="4" t="s">
        <v>32</v>
      </c>
      <c r="H402" s="4" t="s">
        <v>33</v>
      </c>
      <c r="I402" s="4" t="s">
        <v>127</v>
      </c>
      <c r="J402" s="4" t="s">
        <v>35</v>
      </c>
      <c r="K402" s="4" t="s">
        <v>244</v>
      </c>
      <c r="L402" s="4" t="s">
        <v>91</v>
      </c>
      <c r="M402" s="4" t="s">
        <v>37</v>
      </c>
      <c r="N402" s="4" t="s">
        <v>60</v>
      </c>
      <c r="O402" s="4">
        <v>54</v>
      </c>
      <c r="P402" s="4">
        <v>396</v>
      </c>
    </row>
    <row r="403" spans="1:16" hidden="1" x14ac:dyDescent="0.35">
      <c r="A403" s="4" t="s">
        <v>45</v>
      </c>
      <c r="C403" s="4">
        <v>1100</v>
      </c>
      <c r="D403" s="4">
        <v>4</v>
      </c>
      <c r="E403" s="12" t="s">
        <v>24</v>
      </c>
      <c r="F403" s="4">
        <v>2024</v>
      </c>
      <c r="G403" s="4" t="s">
        <v>32</v>
      </c>
      <c r="H403" s="4" t="s">
        <v>33</v>
      </c>
      <c r="I403" s="4" t="s">
        <v>122</v>
      </c>
      <c r="J403" s="4" t="s">
        <v>35</v>
      </c>
      <c r="K403" s="4" t="s">
        <v>244</v>
      </c>
      <c r="L403" s="4" t="s">
        <v>91</v>
      </c>
      <c r="M403" s="4" t="s">
        <v>37</v>
      </c>
      <c r="N403" s="4" t="s">
        <v>192</v>
      </c>
      <c r="O403" s="4">
        <v>21</v>
      </c>
      <c r="P403" s="4">
        <v>399</v>
      </c>
    </row>
    <row r="404" spans="1:16" hidden="1" x14ac:dyDescent="0.35">
      <c r="A404" s="4" t="s">
        <v>45</v>
      </c>
      <c r="C404" s="4">
        <v>1100</v>
      </c>
      <c r="D404" s="4">
        <v>4</v>
      </c>
      <c r="E404" s="12" t="s">
        <v>24</v>
      </c>
      <c r="F404" s="4">
        <v>2024</v>
      </c>
      <c r="G404" s="4" t="s">
        <v>32</v>
      </c>
      <c r="H404" s="4" t="s">
        <v>33</v>
      </c>
      <c r="I404" s="4" t="s">
        <v>129</v>
      </c>
      <c r="J404" s="4" t="s">
        <v>35</v>
      </c>
      <c r="K404" s="4" t="s">
        <v>244</v>
      </c>
      <c r="L404" s="4" t="s">
        <v>91</v>
      </c>
      <c r="M404" s="4" t="s">
        <v>37</v>
      </c>
      <c r="N404" s="4" t="s">
        <v>60</v>
      </c>
      <c r="O404" s="4">
        <v>216</v>
      </c>
      <c r="P404" s="4">
        <v>396</v>
      </c>
    </row>
    <row r="405" spans="1:16" hidden="1" x14ac:dyDescent="0.35">
      <c r="A405" s="4" t="s">
        <v>45</v>
      </c>
      <c r="C405" s="4">
        <v>1100</v>
      </c>
      <c r="D405" s="4">
        <v>4</v>
      </c>
      <c r="E405" s="12" t="s">
        <v>24</v>
      </c>
      <c r="F405" s="4">
        <v>2024</v>
      </c>
      <c r="G405" s="4" t="s">
        <v>32</v>
      </c>
      <c r="H405" s="4" t="s">
        <v>33</v>
      </c>
      <c r="I405" s="4" t="s">
        <v>129</v>
      </c>
      <c r="J405" s="4" t="s">
        <v>35</v>
      </c>
      <c r="K405" s="4" t="s">
        <v>244</v>
      </c>
      <c r="L405" s="4" t="s">
        <v>91</v>
      </c>
      <c r="M405" s="4" t="s">
        <v>37</v>
      </c>
      <c r="N405" s="4" t="s">
        <v>192</v>
      </c>
      <c r="O405" s="4">
        <v>205</v>
      </c>
      <c r="P405" s="4">
        <v>399</v>
      </c>
    </row>
    <row r="406" spans="1:16" hidden="1" x14ac:dyDescent="0.35">
      <c r="A406" s="4" t="s">
        <v>45</v>
      </c>
      <c r="C406" s="4">
        <v>1100</v>
      </c>
      <c r="D406" s="4">
        <v>4</v>
      </c>
      <c r="E406" s="12" t="s">
        <v>24</v>
      </c>
      <c r="F406" s="4">
        <v>2024</v>
      </c>
      <c r="G406" s="4" t="s">
        <v>32</v>
      </c>
      <c r="H406" s="4" t="s">
        <v>33</v>
      </c>
      <c r="I406" s="4" t="s">
        <v>129</v>
      </c>
      <c r="J406" s="4" t="s">
        <v>35</v>
      </c>
      <c r="K406" s="4" t="s">
        <v>244</v>
      </c>
      <c r="L406" s="4" t="s">
        <v>89</v>
      </c>
      <c r="M406" s="4" t="s">
        <v>37</v>
      </c>
      <c r="N406" s="4" t="s">
        <v>60</v>
      </c>
      <c r="O406" s="4">
        <v>8</v>
      </c>
      <c r="P406" s="4">
        <v>396</v>
      </c>
    </row>
    <row r="407" spans="1:16" hidden="1" x14ac:dyDescent="0.35">
      <c r="A407" s="4" t="s">
        <v>45</v>
      </c>
      <c r="C407" s="4">
        <v>1100</v>
      </c>
      <c r="D407" s="4">
        <v>4</v>
      </c>
      <c r="E407" s="12" t="s">
        <v>24</v>
      </c>
      <c r="F407" s="4">
        <v>2024</v>
      </c>
      <c r="G407" s="4" t="s">
        <v>32</v>
      </c>
      <c r="H407" s="4" t="s">
        <v>33</v>
      </c>
      <c r="I407" s="4" t="s">
        <v>129</v>
      </c>
      <c r="J407" s="4" t="s">
        <v>35</v>
      </c>
      <c r="K407" s="4" t="s">
        <v>244</v>
      </c>
      <c r="L407" s="4" t="s">
        <v>89</v>
      </c>
      <c r="M407" s="4" t="s">
        <v>37</v>
      </c>
      <c r="N407" s="4" t="s">
        <v>192</v>
      </c>
      <c r="O407" s="4">
        <v>6</v>
      </c>
      <c r="P407" s="4">
        <v>399</v>
      </c>
    </row>
    <row r="408" spans="1:16" hidden="1" x14ac:dyDescent="0.35">
      <c r="A408" s="4" t="s">
        <v>45</v>
      </c>
      <c r="C408" s="4">
        <v>1100</v>
      </c>
      <c r="D408" s="4">
        <v>4</v>
      </c>
      <c r="E408" s="12" t="s">
        <v>24</v>
      </c>
      <c r="F408" s="4">
        <v>2024</v>
      </c>
      <c r="G408" s="4" t="s">
        <v>32</v>
      </c>
      <c r="H408" s="4" t="s">
        <v>33</v>
      </c>
      <c r="I408" s="4" t="s">
        <v>129</v>
      </c>
      <c r="J408" s="4" t="s">
        <v>35</v>
      </c>
      <c r="K408" s="4" t="s">
        <v>244</v>
      </c>
      <c r="L408" s="4" t="s">
        <v>91</v>
      </c>
      <c r="M408" s="4" t="s">
        <v>41</v>
      </c>
      <c r="N408" s="4" t="s">
        <v>60</v>
      </c>
      <c r="O408" s="4">
        <v>216</v>
      </c>
      <c r="P408" s="4">
        <v>396</v>
      </c>
    </row>
    <row r="409" spans="1:16" hidden="1" x14ac:dyDescent="0.35">
      <c r="A409" s="4" t="s">
        <v>45</v>
      </c>
      <c r="C409" s="4">
        <v>1100</v>
      </c>
      <c r="D409" s="4">
        <v>4</v>
      </c>
      <c r="E409" s="12" t="s">
        <v>24</v>
      </c>
      <c r="F409" s="4">
        <v>2024</v>
      </c>
      <c r="G409" s="4" t="s">
        <v>32</v>
      </c>
      <c r="H409" s="4" t="s">
        <v>33</v>
      </c>
      <c r="I409" s="4" t="s">
        <v>129</v>
      </c>
      <c r="J409" s="4" t="s">
        <v>35</v>
      </c>
      <c r="K409" s="4" t="s">
        <v>244</v>
      </c>
      <c r="L409" s="4" t="s">
        <v>91</v>
      </c>
      <c r="M409" s="4" t="s">
        <v>41</v>
      </c>
      <c r="N409" s="4" t="s">
        <v>192</v>
      </c>
      <c r="O409" s="4">
        <v>205</v>
      </c>
      <c r="P409" s="4">
        <v>399</v>
      </c>
    </row>
    <row r="410" spans="1:16" hidden="1" x14ac:dyDescent="0.35">
      <c r="A410" s="4" t="s">
        <v>45</v>
      </c>
      <c r="C410" s="4">
        <v>1100</v>
      </c>
      <c r="D410" s="4">
        <v>4</v>
      </c>
      <c r="E410" s="12" t="s">
        <v>24</v>
      </c>
      <c r="F410" s="4">
        <v>2024</v>
      </c>
      <c r="G410" s="4" t="s">
        <v>32</v>
      </c>
      <c r="H410" s="4" t="s">
        <v>33</v>
      </c>
      <c r="I410" s="4" t="s">
        <v>129</v>
      </c>
      <c r="J410" s="4" t="s">
        <v>35</v>
      </c>
      <c r="K410" s="4" t="s">
        <v>244</v>
      </c>
      <c r="L410" s="4" t="s">
        <v>96</v>
      </c>
      <c r="M410" s="4" t="s">
        <v>41</v>
      </c>
      <c r="N410" s="4" t="s">
        <v>60</v>
      </c>
      <c r="O410" s="4">
        <v>8</v>
      </c>
      <c r="P410" s="4">
        <v>396</v>
      </c>
    </row>
    <row r="411" spans="1:16" hidden="1" x14ac:dyDescent="0.35">
      <c r="A411" s="4" t="s">
        <v>45</v>
      </c>
      <c r="C411" s="4">
        <v>1100</v>
      </c>
      <c r="D411" s="4">
        <v>4</v>
      </c>
      <c r="E411" s="12" t="s">
        <v>24</v>
      </c>
      <c r="F411" s="4">
        <v>2024</v>
      </c>
      <c r="G411" s="4" t="s">
        <v>32</v>
      </c>
      <c r="H411" s="4" t="s">
        <v>33</v>
      </c>
      <c r="I411" s="4" t="s">
        <v>129</v>
      </c>
      <c r="J411" s="4" t="s">
        <v>35</v>
      </c>
      <c r="K411" s="4" t="s">
        <v>244</v>
      </c>
      <c r="L411" s="4" t="s">
        <v>96</v>
      </c>
      <c r="M411" s="4" t="s">
        <v>41</v>
      </c>
      <c r="N411" s="4" t="s">
        <v>192</v>
      </c>
      <c r="O411" s="4">
        <v>6</v>
      </c>
      <c r="P411" s="4">
        <v>399</v>
      </c>
    </row>
    <row r="412" spans="1:16" hidden="1" x14ac:dyDescent="0.35">
      <c r="A412" s="4" t="s">
        <v>45</v>
      </c>
      <c r="C412" s="4">
        <v>1100</v>
      </c>
      <c r="D412" s="4">
        <v>4</v>
      </c>
      <c r="E412" s="12" t="s">
        <v>24</v>
      </c>
      <c r="F412" s="4">
        <v>2024</v>
      </c>
      <c r="G412" s="4" t="s">
        <v>32</v>
      </c>
      <c r="H412" s="4" t="s">
        <v>33</v>
      </c>
      <c r="I412" s="4" t="s">
        <v>130</v>
      </c>
      <c r="J412" s="4" t="s">
        <v>35</v>
      </c>
      <c r="K412" s="4" t="s">
        <v>244</v>
      </c>
      <c r="L412" s="4" t="s">
        <v>91</v>
      </c>
      <c r="M412" s="4" t="s">
        <v>41</v>
      </c>
      <c r="N412" s="4" t="s">
        <v>60</v>
      </c>
      <c r="O412" s="4">
        <v>169</v>
      </c>
      <c r="P412" s="4">
        <v>396</v>
      </c>
    </row>
    <row r="413" spans="1:16" hidden="1" x14ac:dyDescent="0.35">
      <c r="A413" s="4" t="s">
        <v>45</v>
      </c>
      <c r="C413" s="4">
        <v>1100</v>
      </c>
      <c r="D413" s="4">
        <v>4</v>
      </c>
      <c r="E413" s="12" t="s">
        <v>24</v>
      </c>
      <c r="F413" s="4">
        <v>2024</v>
      </c>
      <c r="G413" s="4" t="s">
        <v>32</v>
      </c>
      <c r="H413" s="4" t="s">
        <v>33</v>
      </c>
      <c r="I413" s="4" t="s">
        <v>130</v>
      </c>
      <c r="J413" s="4" t="s">
        <v>35</v>
      </c>
      <c r="K413" s="4" t="s">
        <v>244</v>
      </c>
      <c r="L413" s="4" t="s">
        <v>91</v>
      </c>
      <c r="M413" s="4" t="s">
        <v>41</v>
      </c>
      <c r="N413" s="4" t="s">
        <v>192</v>
      </c>
      <c r="O413" s="4">
        <v>168</v>
      </c>
      <c r="P413" s="4">
        <v>399</v>
      </c>
    </row>
    <row r="414" spans="1:16" hidden="1" x14ac:dyDescent="0.35">
      <c r="A414" s="4" t="s">
        <v>45</v>
      </c>
      <c r="C414" s="4">
        <v>1100</v>
      </c>
      <c r="D414" s="4">
        <v>4</v>
      </c>
      <c r="E414" s="12" t="s">
        <v>24</v>
      </c>
      <c r="F414" s="4">
        <v>2024</v>
      </c>
      <c r="G414" s="4" t="s">
        <v>32</v>
      </c>
      <c r="H414" s="4" t="s">
        <v>33</v>
      </c>
      <c r="I414" s="4" t="s">
        <v>130</v>
      </c>
      <c r="J414" s="4" t="s">
        <v>35</v>
      </c>
      <c r="K414" s="4" t="s">
        <v>244</v>
      </c>
      <c r="L414" s="4" t="s">
        <v>96</v>
      </c>
      <c r="M414" s="4" t="s">
        <v>41</v>
      </c>
      <c r="N414" s="4" t="s">
        <v>60</v>
      </c>
      <c r="O414" s="4">
        <v>83</v>
      </c>
      <c r="P414" s="4">
        <v>396</v>
      </c>
    </row>
    <row r="415" spans="1:16" hidden="1" x14ac:dyDescent="0.35">
      <c r="A415" s="4" t="s">
        <v>45</v>
      </c>
      <c r="C415" s="4">
        <v>1100</v>
      </c>
      <c r="D415" s="4">
        <v>4</v>
      </c>
      <c r="E415" s="12" t="s">
        <v>24</v>
      </c>
      <c r="F415" s="4">
        <v>2024</v>
      </c>
      <c r="G415" s="4" t="s">
        <v>32</v>
      </c>
      <c r="H415" s="4" t="s">
        <v>33</v>
      </c>
      <c r="I415" s="4" t="s">
        <v>130</v>
      </c>
      <c r="J415" s="4" t="s">
        <v>35</v>
      </c>
      <c r="K415" s="4" t="s">
        <v>244</v>
      </c>
      <c r="L415" s="4" t="s">
        <v>96</v>
      </c>
      <c r="M415" s="4" t="s">
        <v>41</v>
      </c>
      <c r="N415" s="4" t="s">
        <v>192</v>
      </c>
      <c r="O415" s="4">
        <v>79</v>
      </c>
      <c r="P415" s="4">
        <v>399</v>
      </c>
    </row>
    <row r="416" spans="1:16" hidden="1" x14ac:dyDescent="0.35">
      <c r="A416" s="4" t="s">
        <v>45</v>
      </c>
      <c r="C416" s="4">
        <v>1100</v>
      </c>
      <c r="D416" s="4">
        <v>4</v>
      </c>
      <c r="E416" s="12" t="s">
        <v>24</v>
      </c>
      <c r="F416" s="4">
        <v>2024</v>
      </c>
      <c r="G416" s="4" t="s">
        <v>32</v>
      </c>
      <c r="H416" s="4" t="s">
        <v>33</v>
      </c>
      <c r="I416" s="4" t="s">
        <v>131</v>
      </c>
      <c r="J416" s="4" t="s">
        <v>35</v>
      </c>
      <c r="K416" s="4" t="s">
        <v>244</v>
      </c>
      <c r="L416" s="4" t="s">
        <v>91</v>
      </c>
      <c r="M416" s="4" t="s">
        <v>41</v>
      </c>
      <c r="N416" s="4" t="s">
        <v>60</v>
      </c>
      <c r="O416" s="4">
        <v>143</v>
      </c>
      <c r="P416" s="4">
        <v>396</v>
      </c>
    </row>
    <row r="417" spans="1:16" hidden="1" x14ac:dyDescent="0.35">
      <c r="A417" s="4" t="s">
        <v>45</v>
      </c>
      <c r="C417" s="4">
        <v>1100</v>
      </c>
      <c r="D417" s="4">
        <v>4</v>
      </c>
      <c r="E417" s="12" t="s">
        <v>24</v>
      </c>
      <c r="F417" s="4">
        <v>2024</v>
      </c>
      <c r="G417" s="4" t="s">
        <v>32</v>
      </c>
      <c r="H417" s="4" t="s">
        <v>33</v>
      </c>
      <c r="I417" s="4" t="s">
        <v>131</v>
      </c>
      <c r="J417" s="4" t="s">
        <v>35</v>
      </c>
      <c r="K417" s="4" t="s">
        <v>244</v>
      </c>
      <c r="L417" s="4" t="s">
        <v>91</v>
      </c>
      <c r="M417" s="4" t="s">
        <v>41</v>
      </c>
      <c r="N417" s="4" t="s">
        <v>192</v>
      </c>
      <c r="O417" s="4">
        <v>135</v>
      </c>
      <c r="P417" s="4">
        <v>399</v>
      </c>
    </row>
    <row r="418" spans="1:16" hidden="1" x14ac:dyDescent="0.35">
      <c r="A418" s="4" t="s">
        <v>45</v>
      </c>
      <c r="C418" s="4">
        <v>1100</v>
      </c>
      <c r="D418" s="4">
        <v>4</v>
      </c>
      <c r="E418" s="12" t="s">
        <v>24</v>
      </c>
      <c r="F418" s="4">
        <v>2024</v>
      </c>
      <c r="G418" s="4" t="s">
        <v>32</v>
      </c>
      <c r="H418" s="4" t="s">
        <v>33</v>
      </c>
      <c r="I418" s="4" t="s">
        <v>131</v>
      </c>
      <c r="J418" s="4" t="s">
        <v>35</v>
      </c>
      <c r="K418" s="4" t="s">
        <v>244</v>
      </c>
      <c r="L418" s="4" t="s">
        <v>96</v>
      </c>
      <c r="M418" s="4" t="s">
        <v>41</v>
      </c>
      <c r="N418" s="4" t="s">
        <v>60</v>
      </c>
      <c r="O418" s="4">
        <v>29</v>
      </c>
      <c r="P418" s="4">
        <v>396</v>
      </c>
    </row>
    <row r="419" spans="1:16" hidden="1" x14ac:dyDescent="0.35">
      <c r="A419" s="4" t="s">
        <v>45</v>
      </c>
      <c r="C419" s="4">
        <v>1100</v>
      </c>
      <c r="D419" s="4">
        <v>4</v>
      </c>
      <c r="E419" s="12" t="s">
        <v>24</v>
      </c>
      <c r="F419" s="4">
        <v>2024</v>
      </c>
      <c r="G419" s="4" t="s">
        <v>32</v>
      </c>
      <c r="H419" s="4" t="s">
        <v>33</v>
      </c>
      <c r="I419" s="4" t="s">
        <v>131</v>
      </c>
      <c r="J419" s="4" t="s">
        <v>35</v>
      </c>
      <c r="K419" s="4" t="s">
        <v>244</v>
      </c>
      <c r="L419" s="4" t="s">
        <v>96</v>
      </c>
      <c r="M419" s="4" t="s">
        <v>41</v>
      </c>
      <c r="N419" s="4" t="s">
        <v>192</v>
      </c>
      <c r="O419" s="4">
        <v>23</v>
      </c>
      <c r="P419" s="4">
        <v>399</v>
      </c>
    </row>
    <row r="420" spans="1:16" hidden="1" x14ac:dyDescent="0.35">
      <c r="A420" s="4" t="s">
        <v>45</v>
      </c>
      <c r="C420" s="4">
        <v>1100</v>
      </c>
      <c r="D420" s="4">
        <v>4</v>
      </c>
      <c r="E420" s="12" t="s">
        <v>24</v>
      </c>
      <c r="F420" s="4">
        <v>2024</v>
      </c>
      <c r="G420" s="4" t="s">
        <v>32</v>
      </c>
      <c r="H420" s="4" t="s">
        <v>33</v>
      </c>
      <c r="I420" s="4" t="s">
        <v>132</v>
      </c>
      <c r="J420" s="4" t="s">
        <v>35</v>
      </c>
      <c r="K420" s="4" t="s">
        <v>244</v>
      </c>
      <c r="L420" s="4" t="s">
        <v>91</v>
      </c>
      <c r="M420" s="4" t="s">
        <v>41</v>
      </c>
      <c r="N420" s="4" t="s">
        <v>60</v>
      </c>
      <c r="O420" s="4">
        <v>111</v>
      </c>
      <c r="P420" s="4">
        <v>396</v>
      </c>
    </row>
    <row r="421" spans="1:16" hidden="1" x14ac:dyDescent="0.35">
      <c r="A421" s="4" t="s">
        <v>45</v>
      </c>
      <c r="C421" s="4">
        <v>1100</v>
      </c>
      <c r="D421" s="4">
        <v>4</v>
      </c>
      <c r="E421" s="12" t="s">
        <v>24</v>
      </c>
      <c r="F421" s="4">
        <v>2024</v>
      </c>
      <c r="G421" s="4" t="s">
        <v>32</v>
      </c>
      <c r="H421" s="4" t="s">
        <v>33</v>
      </c>
      <c r="I421" s="4" t="s">
        <v>132</v>
      </c>
      <c r="J421" s="4" t="s">
        <v>35</v>
      </c>
      <c r="K421" s="4" t="s">
        <v>244</v>
      </c>
      <c r="L421" s="4" t="s">
        <v>91</v>
      </c>
      <c r="M421" s="4" t="s">
        <v>41</v>
      </c>
      <c r="N421" s="4" t="s">
        <v>192</v>
      </c>
      <c r="O421" s="4">
        <v>98</v>
      </c>
      <c r="P421" s="4">
        <v>399</v>
      </c>
    </row>
    <row r="422" spans="1:16" hidden="1" x14ac:dyDescent="0.35">
      <c r="A422" s="4" t="s">
        <v>45</v>
      </c>
      <c r="C422" s="4">
        <v>1100</v>
      </c>
      <c r="D422" s="4">
        <v>4</v>
      </c>
      <c r="E422" s="12" t="s">
        <v>24</v>
      </c>
      <c r="F422" s="4">
        <v>2024</v>
      </c>
      <c r="G422" s="4" t="s">
        <v>32</v>
      </c>
      <c r="H422" s="4" t="s">
        <v>33</v>
      </c>
      <c r="I422" s="4" t="s">
        <v>132</v>
      </c>
      <c r="J422" s="4" t="s">
        <v>35</v>
      </c>
      <c r="K422" s="4" t="s">
        <v>244</v>
      </c>
      <c r="L422" s="4" t="s">
        <v>96</v>
      </c>
      <c r="M422" s="4" t="s">
        <v>41</v>
      </c>
      <c r="N422" s="4" t="s">
        <v>60</v>
      </c>
      <c r="O422" s="4">
        <v>21</v>
      </c>
      <c r="P422" s="4">
        <v>396</v>
      </c>
    </row>
    <row r="423" spans="1:16" hidden="1" x14ac:dyDescent="0.35">
      <c r="A423" s="4" t="s">
        <v>45</v>
      </c>
      <c r="C423" s="4">
        <v>1100</v>
      </c>
      <c r="D423" s="4">
        <v>4</v>
      </c>
      <c r="E423" s="12" t="s">
        <v>24</v>
      </c>
      <c r="F423" s="4">
        <v>2024</v>
      </c>
      <c r="G423" s="4" t="s">
        <v>32</v>
      </c>
      <c r="H423" s="4" t="s">
        <v>33</v>
      </c>
      <c r="I423" s="4" t="s">
        <v>132</v>
      </c>
      <c r="J423" s="4" t="s">
        <v>35</v>
      </c>
      <c r="K423" s="4" t="s">
        <v>244</v>
      </c>
      <c r="L423" s="4" t="s">
        <v>96</v>
      </c>
      <c r="M423" s="4" t="s">
        <v>41</v>
      </c>
      <c r="N423" s="4" t="s">
        <v>192</v>
      </c>
      <c r="O423" s="4">
        <v>22</v>
      </c>
      <c r="P423" s="4">
        <v>399</v>
      </c>
    </row>
    <row r="424" spans="1:16" hidden="1" x14ac:dyDescent="0.35">
      <c r="A424" s="4" t="s">
        <v>45</v>
      </c>
      <c r="C424" s="4">
        <v>1100</v>
      </c>
      <c r="D424" s="4">
        <v>4</v>
      </c>
      <c r="E424" s="12" t="s">
        <v>24</v>
      </c>
      <c r="F424" s="4">
        <v>2024</v>
      </c>
      <c r="G424" s="4" t="s">
        <v>32</v>
      </c>
      <c r="H424" s="4" t="s">
        <v>33</v>
      </c>
      <c r="I424" s="4" t="s">
        <v>133</v>
      </c>
      <c r="J424" s="4" t="s">
        <v>35</v>
      </c>
      <c r="K424" s="4" t="s">
        <v>244</v>
      </c>
      <c r="L424" s="4" t="s">
        <v>91</v>
      </c>
      <c r="M424" s="4" t="s">
        <v>41</v>
      </c>
      <c r="N424" s="4" t="s">
        <v>60</v>
      </c>
      <c r="O424" s="4">
        <v>108</v>
      </c>
      <c r="P424" s="4">
        <v>396</v>
      </c>
    </row>
    <row r="425" spans="1:16" hidden="1" x14ac:dyDescent="0.35">
      <c r="A425" s="4" t="s">
        <v>45</v>
      </c>
      <c r="C425" s="4">
        <v>1100</v>
      </c>
      <c r="D425" s="4">
        <v>4</v>
      </c>
      <c r="E425" s="12" t="s">
        <v>24</v>
      </c>
      <c r="F425" s="4">
        <v>2024</v>
      </c>
      <c r="G425" s="4" t="s">
        <v>32</v>
      </c>
      <c r="H425" s="4" t="s">
        <v>33</v>
      </c>
      <c r="I425" s="4" t="s">
        <v>133</v>
      </c>
      <c r="J425" s="4" t="s">
        <v>35</v>
      </c>
      <c r="K425" s="4" t="s">
        <v>244</v>
      </c>
      <c r="L425" s="4" t="s">
        <v>91</v>
      </c>
      <c r="M425" s="4" t="s">
        <v>41</v>
      </c>
      <c r="N425" s="4" t="s">
        <v>192</v>
      </c>
      <c r="O425" s="4">
        <v>95</v>
      </c>
      <c r="P425" s="4">
        <v>399</v>
      </c>
    </row>
    <row r="426" spans="1:16" hidden="1" x14ac:dyDescent="0.35">
      <c r="A426" s="4" t="s">
        <v>45</v>
      </c>
      <c r="C426" s="4">
        <v>1100</v>
      </c>
      <c r="D426" s="4">
        <v>4</v>
      </c>
      <c r="E426" s="12" t="s">
        <v>24</v>
      </c>
      <c r="F426" s="4">
        <v>2024</v>
      </c>
      <c r="G426" s="4" t="s">
        <v>32</v>
      </c>
      <c r="H426" s="4" t="s">
        <v>33</v>
      </c>
      <c r="I426" s="4" t="s">
        <v>133</v>
      </c>
      <c r="J426" s="4" t="s">
        <v>35</v>
      </c>
      <c r="K426" s="4" t="s">
        <v>244</v>
      </c>
      <c r="L426" s="4" t="s">
        <v>96</v>
      </c>
      <c r="M426" s="4" t="s">
        <v>41</v>
      </c>
      <c r="N426" s="4" t="s">
        <v>60</v>
      </c>
      <c r="O426" s="4">
        <v>6</v>
      </c>
      <c r="P426" s="4">
        <v>396</v>
      </c>
    </row>
    <row r="427" spans="1:16" hidden="1" x14ac:dyDescent="0.35">
      <c r="A427" s="4" t="s">
        <v>45</v>
      </c>
      <c r="C427" s="4">
        <v>1100</v>
      </c>
      <c r="D427" s="4">
        <v>4</v>
      </c>
      <c r="E427" s="12" t="s">
        <v>24</v>
      </c>
      <c r="F427" s="4">
        <v>2024</v>
      </c>
      <c r="G427" s="4" t="s">
        <v>32</v>
      </c>
      <c r="H427" s="4" t="s">
        <v>33</v>
      </c>
      <c r="I427" s="4" t="s">
        <v>133</v>
      </c>
      <c r="J427" s="4" t="s">
        <v>35</v>
      </c>
      <c r="K427" s="4" t="s">
        <v>244</v>
      </c>
      <c r="L427" s="4" t="s">
        <v>96</v>
      </c>
      <c r="M427" s="4" t="s">
        <v>41</v>
      </c>
      <c r="N427" s="4" t="s">
        <v>192</v>
      </c>
      <c r="O427" s="4">
        <v>3</v>
      </c>
      <c r="P427" s="4">
        <v>399</v>
      </c>
    </row>
    <row r="428" spans="1:16" hidden="1" x14ac:dyDescent="0.35">
      <c r="A428" s="4" t="s">
        <v>45</v>
      </c>
      <c r="C428" s="4">
        <v>1100</v>
      </c>
      <c r="D428" s="4">
        <v>4</v>
      </c>
      <c r="E428" s="12" t="s">
        <v>24</v>
      </c>
      <c r="F428" s="4">
        <v>2024</v>
      </c>
      <c r="G428" s="4" t="s">
        <v>32</v>
      </c>
      <c r="H428" s="4" t="s">
        <v>33</v>
      </c>
      <c r="I428" s="4" t="s">
        <v>44</v>
      </c>
      <c r="J428" s="4" t="s">
        <v>35</v>
      </c>
      <c r="K428" s="4" t="s">
        <v>244</v>
      </c>
      <c r="L428" s="4" t="s">
        <v>91</v>
      </c>
      <c r="M428" s="4" t="s">
        <v>41</v>
      </c>
      <c r="N428" s="4" t="s">
        <v>60</v>
      </c>
      <c r="O428" s="4">
        <v>107</v>
      </c>
      <c r="P428" s="4">
        <v>396</v>
      </c>
    </row>
    <row r="429" spans="1:16" hidden="1" x14ac:dyDescent="0.35">
      <c r="A429" s="4" t="s">
        <v>45</v>
      </c>
      <c r="C429" s="4">
        <v>1100</v>
      </c>
      <c r="D429" s="4">
        <v>4</v>
      </c>
      <c r="E429" s="12" t="s">
        <v>24</v>
      </c>
      <c r="F429" s="4">
        <v>2024</v>
      </c>
      <c r="G429" s="4" t="s">
        <v>32</v>
      </c>
      <c r="H429" s="4" t="s">
        <v>33</v>
      </c>
      <c r="I429" s="4" t="s">
        <v>44</v>
      </c>
      <c r="J429" s="4" t="s">
        <v>35</v>
      </c>
      <c r="K429" s="4" t="s">
        <v>244</v>
      </c>
      <c r="L429" s="4" t="s">
        <v>91</v>
      </c>
      <c r="M429" s="4" t="s">
        <v>41</v>
      </c>
      <c r="N429" s="4" t="s">
        <v>192</v>
      </c>
      <c r="O429" s="4">
        <v>101</v>
      </c>
      <c r="P429" s="4">
        <v>399</v>
      </c>
    </row>
    <row r="430" spans="1:16" hidden="1" x14ac:dyDescent="0.35">
      <c r="A430" s="4" t="s">
        <v>45</v>
      </c>
      <c r="C430" s="4">
        <v>1100</v>
      </c>
      <c r="D430" s="4">
        <v>4</v>
      </c>
      <c r="E430" s="12" t="s">
        <v>24</v>
      </c>
      <c r="F430" s="4">
        <v>2024</v>
      </c>
      <c r="G430" s="4" t="s">
        <v>32</v>
      </c>
      <c r="H430" s="4" t="s">
        <v>33</v>
      </c>
      <c r="I430" s="4" t="s">
        <v>44</v>
      </c>
      <c r="J430" s="4" t="s">
        <v>35</v>
      </c>
      <c r="K430" s="4" t="s">
        <v>244</v>
      </c>
      <c r="L430" s="4" t="s">
        <v>96</v>
      </c>
      <c r="M430" s="4" t="s">
        <v>41</v>
      </c>
      <c r="N430" s="4" t="s">
        <v>60</v>
      </c>
      <c r="O430" s="4">
        <v>3</v>
      </c>
      <c r="P430" s="4">
        <v>396</v>
      </c>
    </row>
    <row r="431" spans="1:16" hidden="1" x14ac:dyDescent="0.35">
      <c r="A431" s="4" t="s">
        <v>45</v>
      </c>
      <c r="C431" s="4">
        <v>1100</v>
      </c>
      <c r="D431" s="4">
        <v>4</v>
      </c>
      <c r="E431" s="12" t="s">
        <v>24</v>
      </c>
      <c r="F431" s="4">
        <v>2024</v>
      </c>
      <c r="G431" s="4" t="s">
        <v>32</v>
      </c>
      <c r="H431" s="4" t="s">
        <v>33</v>
      </c>
      <c r="I431" s="4" t="s">
        <v>44</v>
      </c>
      <c r="J431" s="4" t="s">
        <v>35</v>
      </c>
      <c r="K431" s="4" t="s">
        <v>244</v>
      </c>
      <c r="L431" s="4" t="s">
        <v>96</v>
      </c>
      <c r="M431" s="4" t="s">
        <v>41</v>
      </c>
      <c r="N431" s="4" t="s">
        <v>192</v>
      </c>
      <c r="O431" s="4">
        <v>0</v>
      </c>
      <c r="P431" s="4">
        <v>399</v>
      </c>
    </row>
    <row r="432" spans="1:16" hidden="1" x14ac:dyDescent="0.35">
      <c r="A432" s="4" t="s">
        <v>45</v>
      </c>
      <c r="C432" s="4">
        <v>1100</v>
      </c>
      <c r="D432" s="4">
        <v>4</v>
      </c>
      <c r="E432" s="12" t="s">
        <v>24</v>
      </c>
      <c r="F432" s="4">
        <v>2024</v>
      </c>
      <c r="G432" s="4" t="s">
        <v>32</v>
      </c>
      <c r="H432" s="4" t="s">
        <v>33</v>
      </c>
      <c r="I432" s="4" t="s">
        <v>134</v>
      </c>
      <c r="J432" s="4" t="s">
        <v>35</v>
      </c>
      <c r="K432" s="4" t="s">
        <v>244</v>
      </c>
      <c r="L432" s="4" t="s">
        <v>91</v>
      </c>
      <c r="M432" s="4" t="s">
        <v>41</v>
      </c>
      <c r="N432" s="4" t="s">
        <v>60</v>
      </c>
      <c r="O432" s="4">
        <v>92</v>
      </c>
      <c r="P432" s="4">
        <v>396</v>
      </c>
    </row>
    <row r="433" spans="1:16" hidden="1" x14ac:dyDescent="0.35">
      <c r="A433" s="4" t="s">
        <v>45</v>
      </c>
      <c r="C433" s="4">
        <v>1100</v>
      </c>
      <c r="D433" s="4">
        <v>4</v>
      </c>
      <c r="E433" s="12" t="s">
        <v>24</v>
      </c>
      <c r="F433" s="4">
        <v>2024</v>
      </c>
      <c r="G433" s="4" t="s">
        <v>32</v>
      </c>
      <c r="H433" s="4" t="s">
        <v>33</v>
      </c>
      <c r="I433" s="4" t="s">
        <v>134</v>
      </c>
      <c r="J433" s="4" t="s">
        <v>35</v>
      </c>
      <c r="K433" s="4" t="s">
        <v>244</v>
      </c>
      <c r="L433" s="4" t="s">
        <v>91</v>
      </c>
      <c r="M433" s="4" t="s">
        <v>41</v>
      </c>
      <c r="N433" s="4" t="s">
        <v>192</v>
      </c>
      <c r="O433" s="4">
        <v>89</v>
      </c>
      <c r="P433" s="4">
        <v>399</v>
      </c>
    </row>
    <row r="434" spans="1:16" hidden="1" x14ac:dyDescent="0.35">
      <c r="A434" s="4" t="s">
        <v>45</v>
      </c>
      <c r="C434" s="4">
        <v>1100</v>
      </c>
      <c r="D434" s="4">
        <v>4</v>
      </c>
      <c r="E434" s="12" t="s">
        <v>24</v>
      </c>
      <c r="F434" s="4">
        <v>2024</v>
      </c>
      <c r="G434" s="4" t="s">
        <v>32</v>
      </c>
      <c r="H434" s="4" t="s">
        <v>33</v>
      </c>
      <c r="I434" s="4" t="s">
        <v>134</v>
      </c>
      <c r="J434" s="4" t="s">
        <v>35</v>
      </c>
      <c r="K434" s="4" t="s">
        <v>244</v>
      </c>
      <c r="L434" s="4" t="s">
        <v>96</v>
      </c>
      <c r="M434" s="4" t="s">
        <v>41</v>
      </c>
      <c r="N434" s="4" t="s">
        <v>60</v>
      </c>
      <c r="O434" s="4">
        <v>7</v>
      </c>
      <c r="P434" s="4">
        <v>396</v>
      </c>
    </row>
    <row r="435" spans="1:16" hidden="1" x14ac:dyDescent="0.35">
      <c r="A435" s="4" t="s">
        <v>45</v>
      </c>
      <c r="C435" s="4">
        <v>1100</v>
      </c>
      <c r="D435" s="4">
        <v>4</v>
      </c>
      <c r="E435" s="12" t="s">
        <v>24</v>
      </c>
      <c r="F435" s="4">
        <v>2024</v>
      </c>
      <c r="G435" s="4" t="s">
        <v>32</v>
      </c>
      <c r="H435" s="4" t="s">
        <v>33</v>
      </c>
      <c r="I435" s="4" t="s">
        <v>134</v>
      </c>
      <c r="J435" s="4" t="s">
        <v>35</v>
      </c>
      <c r="K435" s="4" t="s">
        <v>244</v>
      </c>
      <c r="L435" s="4" t="s">
        <v>96</v>
      </c>
      <c r="M435" s="4" t="s">
        <v>41</v>
      </c>
      <c r="N435" s="4" t="s">
        <v>192</v>
      </c>
      <c r="O435" s="4">
        <v>0</v>
      </c>
      <c r="P435" s="4">
        <v>399</v>
      </c>
    </row>
    <row r="436" spans="1:16" hidden="1" x14ac:dyDescent="0.35">
      <c r="A436" s="4" t="s">
        <v>45</v>
      </c>
      <c r="C436" s="4">
        <v>1100</v>
      </c>
      <c r="D436" s="4">
        <v>4</v>
      </c>
      <c r="E436" s="12" t="s">
        <v>24</v>
      </c>
      <c r="F436" s="4">
        <v>2024</v>
      </c>
      <c r="G436" s="4" t="s">
        <v>32</v>
      </c>
      <c r="H436" s="4" t="s">
        <v>33</v>
      </c>
      <c r="I436" s="4" t="s">
        <v>135</v>
      </c>
      <c r="J436" s="4" t="s">
        <v>35</v>
      </c>
      <c r="K436" s="4" t="s">
        <v>244</v>
      </c>
      <c r="L436" s="4" t="s">
        <v>91</v>
      </c>
      <c r="M436" s="4" t="s">
        <v>41</v>
      </c>
      <c r="N436" s="4" t="s">
        <v>60</v>
      </c>
      <c r="O436" s="4">
        <v>76</v>
      </c>
      <c r="P436" s="4">
        <v>396</v>
      </c>
    </row>
    <row r="437" spans="1:16" hidden="1" x14ac:dyDescent="0.35">
      <c r="A437" s="4" t="s">
        <v>45</v>
      </c>
      <c r="C437" s="4">
        <v>1100</v>
      </c>
      <c r="D437" s="4">
        <v>4</v>
      </c>
      <c r="E437" s="12" t="s">
        <v>24</v>
      </c>
      <c r="F437" s="4">
        <v>2024</v>
      </c>
      <c r="G437" s="4" t="s">
        <v>32</v>
      </c>
      <c r="H437" s="4" t="s">
        <v>33</v>
      </c>
      <c r="I437" s="4" t="s">
        <v>135</v>
      </c>
      <c r="J437" s="4" t="s">
        <v>35</v>
      </c>
      <c r="K437" s="4" t="s">
        <v>244</v>
      </c>
      <c r="L437" s="4" t="s">
        <v>91</v>
      </c>
      <c r="M437" s="4" t="s">
        <v>41</v>
      </c>
      <c r="N437" s="4" t="s">
        <v>192</v>
      </c>
      <c r="O437" s="4">
        <v>58</v>
      </c>
      <c r="P437" s="4">
        <v>399</v>
      </c>
    </row>
    <row r="438" spans="1:16" hidden="1" x14ac:dyDescent="0.35">
      <c r="A438" s="4" t="s">
        <v>45</v>
      </c>
      <c r="C438" s="4">
        <v>1100</v>
      </c>
      <c r="D438" s="4">
        <v>4</v>
      </c>
      <c r="E438" s="12" t="s">
        <v>24</v>
      </c>
      <c r="F438" s="4">
        <v>2024</v>
      </c>
      <c r="G438" s="4" t="s">
        <v>32</v>
      </c>
      <c r="H438" s="4" t="s">
        <v>33</v>
      </c>
      <c r="I438" s="4" t="s">
        <v>135</v>
      </c>
      <c r="J438" s="4" t="s">
        <v>35</v>
      </c>
      <c r="K438" s="4" t="s">
        <v>244</v>
      </c>
      <c r="L438" s="4" t="s">
        <v>96</v>
      </c>
      <c r="M438" s="4" t="s">
        <v>41</v>
      </c>
      <c r="N438" s="4" t="s">
        <v>60</v>
      </c>
      <c r="O438" s="4">
        <v>4</v>
      </c>
      <c r="P438" s="4">
        <v>396</v>
      </c>
    </row>
    <row r="439" spans="1:16" hidden="1" x14ac:dyDescent="0.35">
      <c r="A439" s="4" t="s">
        <v>45</v>
      </c>
      <c r="C439" s="4">
        <v>1100</v>
      </c>
      <c r="D439" s="4">
        <v>4</v>
      </c>
      <c r="E439" s="12" t="s">
        <v>24</v>
      </c>
      <c r="F439" s="4">
        <v>2024</v>
      </c>
      <c r="G439" s="4" t="s">
        <v>32</v>
      </c>
      <c r="H439" s="4" t="s">
        <v>33</v>
      </c>
      <c r="I439" s="4" t="s">
        <v>135</v>
      </c>
      <c r="J439" s="4" t="s">
        <v>35</v>
      </c>
      <c r="K439" s="4" t="s">
        <v>244</v>
      </c>
      <c r="L439" s="4" t="s">
        <v>96</v>
      </c>
      <c r="M439" s="4" t="s">
        <v>41</v>
      </c>
      <c r="N439" s="4" t="s">
        <v>192</v>
      </c>
      <c r="O439" s="4">
        <v>1</v>
      </c>
      <c r="P439" s="4">
        <v>399</v>
      </c>
    </row>
    <row r="440" spans="1:16" hidden="1" x14ac:dyDescent="0.35">
      <c r="A440" s="4" t="s">
        <v>45</v>
      </c>
      <c r="C440" s="4">
        <v>1100</v>
      </c>
      <c r="D440" s="4">
        <v>4</v>
      </c>
      <c r="E440" s="12" t="s">
        <v>24</v>
      </c>
      <c r="F440" s="4">
        <v>2024</v>
      </c>
      <c r="G440" s="4" t="s">
        <v>32</v>
      </c>
      <c r="H440" s="4" t="s">
        <v>33</v>
      </c>
      <c r="I440" s="4" t="s">
        <v>136</v>
      </c>
      <c r="J440" s="4" t="s">
        <v>35</v>
      </c>
      <c r="K440" s="4" t="s">
        <v>244</v>
      </c>
      <c r="L440" s="4" t="s">
        <v>91</v>
      </c>
      <c r="M440" s="4" t="s">
        <v>41</v>
      </c>
      <c r="N440" s="4" t="s">
        <v>60</v>
      </c>
      <c r="O440" s="4">
        <v>74</v>
      </c>
      <c r="P440" s="4">
        <v>396</v>
      </c>
    </row>
    <row r="441" spans="1:16" hidden="1" x14ac:dyDescent="0.35">
      <c r="A441" s="4" t="s">
        <v>45</v>
      </c>
      <c r="C441" s="4">
        <v>1100</v>
      </c>
      <c r="D441" s="4">
        <v>4</v>
      </c>
      <c r="E441" s="12" t="s">
        <v>24</v>
      </c>
      <c r="F441" s="4">
        <v>2024</v>
      </c>
      <c r="G441" s="4" t="s">
        <v>32</v>
      </c>
      <c r="H441" s="4" t="s">
        <v>33</v>
      </c>
      <c r="I441" s="4" t="s">
        <v>136</v>
      </c>
      <c r="J441" s="4" t="s">
        <v>35</v>
      </c>
      <c r="K441" s="4" t="s">
        <v>244</v>
      </c>
      <c r="L441" s="4" t="s">
        <v>91</v>
      </c>
      <c r="M441" s="4" t="s">
        <v>41</v>
      </c>
      <c r="N441" s="4" t="s">
        <v>192</v>
      </c>
      <c r="O441" s="4">
        <v>75</v>
      </c>
      <c r="P441" s="4">
        <v>399</v>
      </c>
    </row>
    <row r="442" spans="1:16" hidden="1" x14ac:dyDescent="0.35">
      <c r="A442" s="4" t="s">
        <v>45</v>
      </c>
      <c r="C442" s="4">
        <v>1100</v>
      </c>
      <c r="D442" s="4">
        <v>4</v>
      </c>
      <c r="E442" s="12" t="s">
        <v>24</v>
      </c>
      <c r="F442" s="4">
        <v>2024</v>
      </c>
      <c r="G442" s="4" t="s">
        <v>32</v>
      </c>
      <c r="H442" s="4" t="s">
        <v>33</v>
      </c>
      <c r="I442" s="4" t="s">
        <v>136</v>
      </c>
      <c r="J442" s="4" t="s">
        <v>35</v>
      </c>
      <c r="K442" s="4" t="s">
        <v>244</v>
      </c>
      <c r="L442" s="4" t="s">
        <v>96</v>
      </c>
      <c r="M442" s="4" t="s">
        <v>41</v>
      </c>
      <c r="N442" s="4" t="s">
        <v>60</v>
      </c>
      <c r="O442" s="4">
        <v>21</v>
      </c>
      <c r="P442" s="4">
        <v>396</v>
      </c>
    </row>
    <row r="443" spans="1:16" hidden="1" x14ac:dyDescent="0.35">
      <c r="A443" s="4" t="s">
        <v>45</v>
      </c>
      <c r="C443" s="4">
        <v>1100</v>
      </c>
      <c r="D443" s="4">
        <v>4</v>
      </c>
      <c r="E443" s="12" t="s">
        <v>24</v>
      </c>
      <c r="F443" s="4">
        <v>2024</v>
      </c>
      <c r="G443" s="4" t="s">
        <v>32</v>
      </c>
      <c r="H443" s="4" t="s">
        <v>33</v>
      </c>
      <c r="I443" s="4" t="s">
        <v>136</v>
      </c>
      <c r="J443" s="4" t="s">
        <v>35</v>
      </c>
      <c r="K443" s="4" t="s">
        <v>244</v>
      </c>
      <c r="L443" s="4" t="s">
        <v>96</v>
      </c>
      <c r="M443" s="4" t="s">
        <v>41</v>
      </c>
      <c r="N443" s="4" t="s">
        <v>192</v>
      </c>
      <c r="O443" s="4">
        <v>24</v>
      </c>
      <c r="P443" s="4">
        <v>399</v>
      </c>
    </row>
    <row r="444" spans="1:16" hidden="1" x14ac:dyDescent="0.35">
      <c r="A444" s="4" t="s">
        <v>45</v>
      </c>
      <c r="C444" s="4">
        <v>1100</v>
      </c>
      <c r="D444" s="4">
        <v>4</v>
      </c>
      <c r="E444" s="12" t="s">
        <v>24</v>
      </c>
      <c r="F444" s="4">
        <v>2024</v>
      </c>
      <c r="G444" s="4" t="s">
        <v>32</v>
      </c>
      <c r="H444" s="4" t="s">
        <v>33</v>
      </c>
      <c r="I444" s="4" t="s">
        <v>137</v>
      </c>
      <c r="J444" s="4" t="s">
        <v>35</v>
      </c>
      <c r="K444" s="4" t="s">
        <v>244</v>
      </c>
      <c r="L444" s="4" t="s">
        <v>91</v>
      </c>
      <c r="M444" s="4" t="s">
        <v>41</v>
      </c>
      <c r="N444" s="4" t="s">
        <v>60</v>
      </c>
      <c r="O444" s="4">
        <v>57</v>
      </c>
      <c r="P444" s="4">
        <v>396</v>
      </c>
    </row>
    <row r="445" spans="1:16" hidden="1" x14ac:dyDescent="0.35">
      <c r="A445" s="4" t="s">
        <v>45</v>
      </c>
      <c r="C445" s="4">
        <v>1100</v>
      </c>
      <c r="D445" s="4">
        <v>4</v>
      </c>
      <c r="E445" s="12" t="s">
        <v>24</v>
      </c>
      <c r="F445" s="4">
        <v>2024</v>
      </c>
      <c r="G445" s="4" t="s">
        <v>32</v>
      </c>
      <c r="H445" s="4" t="s">
        <v>33</v>
      </c>
      <c r="I445" s="4" t="s">
        <v>137</v>
      </c>
      <c r="J445" s="4" t="s">
        <v>35</v>
      </c>
      <c r="K445" s="4" t="s">
        <v>244</v>
      </c>
      <c r="L445" s="4" t="s">
        <v>91</v>
      </c>
      <c r="M445" s="4" t="s">
        <v>41</v>
      </c>
      <c r="N445" s="4" t="s">
        <v>192</v>
      </c>
      <c r="O445" s="4">
        <v>48</v>
      </c>
      <c r="P445" s="4">
        <v>399</v>
      </c>
    </row>
    <row r="446" spans="1:16" hidden="1" x14ac:dyDescent="0.35">
      <c r="A446" s="4" t="s">
        <v>45</v>
      </c>
      <c r="C446" s="4">
        <v>1100</v>
      </c>
      <c r="D446" s="4">
        <v>4</v>
      </c>
      <c r="E446" s="12" t="s">
        <v>24</v>
      </c>
      <c r="F446" s="4">
        <v>2024</v>
      </c>
      <c r="G446" s="4" t="s">
        <v>32</v>
      </c>
      <c r="H446" s="4" t="s">
        <v>33</v>
      </c>
      <c r="I446" s="4" t="s">
        <v>137</v>
      </c>
      <c r="J446" s="4" t="s">
        <v>35</v>
      </c>
      <c r="K446" s="4" t="s">
        <v>244</v>
      </c>
      <c r="L446" s="4" t="s">
        <v>96</v>
      </c>
      <c r="M446" s="4" t="s">
        <v>41</v>
      </c>
      <c r="N446" s="4" t="s">
        <v>60</v>
      </c>
      <c r="O446" s="4">
        <v>3</v>
      </c>
      <c r="P446" s="4">
        <v>396</v>
      </c>
    </row>
    <row r="447" spans="1:16" hidden="1" x14ac:dyDescent="0.35">
      <c r="A447" s="4" t="s">
        <v>45</v>
      </c>
      <c r="C447" s="4">
        <v>1100</v>
      </c>
      <c r="D447" s="4">
        <v>4</v>
      </c>
      <c r="E447" s="12" t="s">
        <v>24</v>
      </c>
      <c r="F447" s="4">
        <v>2024</v>
      </c>
      <c r="G447" s="4" t="s">
        <v>32</v>
      </c>
      <c r="H447" s="4" t="s">
        <v>33</v>
      </c>
      <c r="I447" s="4" t="s">
        <v>137</v>
      </c>
      <c r="J447" s="4" t="s">
        <v>35</v>
      </c>
      <c r="K447" s="4" t="s">
        <v>244</v>
      </c>
      <c r="L447" s="4" t="s">
        <v>96</v>
      </c>
      <c r="M447" s="4" t="s">
        <v>41</v>
      </c>
      <c r="N447" s="4" t="s">
        <v>192</v>
      </c>
      <c r="O447" s="4">
        <v>0</v>
      </c>
      <c r="P447" s="4">
        <v>399</v>
      </c>
    </row>
    <row r="448" spans="1:16" hidden="1" x14ac:dyDescent="0.35">
      <c r="A448" s="4" t="s">
        <v>45</v>
      </c>
      <c r="C448" s="4">
        <v>1100</v>
      </c>
      <c r="D448" s="4">
        <v>4</v>
      </c>
      <c r="E448" s="12" t="s">
        <v>24</v>
      </c>
      <c r="F448" s="4">
        <v>2024</v>
      </c>
      <c r="G448" s="4" t="s">
        <v>32</v>
      </c>
      <c r="H448" s="4" t="s">
        <v>33</v>
      </c>
      <c r="I448" s="4" t="s">
        <v>138</v>
      </c>
      <c r="J448" s="4" t="s">
        <v>35</v>
      </c>
      <c r="K448" s="4" t="s">
        <v>244</v>
      </c>
      <c r="L448" s="4" t="s">
        <v>91</v>
      </c>
      <c r="M448" s="4" t="s">
        <v>41</v>
      </c>
      <c r="N448" s="4" t="s">
        <v>60</v>
      </c>
      <c r="O448" s="4">
        <v>53</v>
      </c>
      <c r="P448" s="4">
        <v>396</v>
      </c>
    </row>
    <row r="449" spans="1:16" hidden="1" x14ac:dyDescent="0.35">
      <c r="A449" s="4" t="s">
        <v>45</v>
      </c>
      <c r="C449" s="4">
        <v>1100</v>
      </c>
      <c r="D449" s="4">
        <v>4</v>
      </c>
      <c r="E449" s="12" t="s">
        <v>24</v>
      </c>
      <c r="F449" s="4">
        <v>2024</v>
      </c>
      <c r="G449" s="4" t="s">
        <v>32</v>
      </c>
      <c r="H449" s="4" t="s">
        <v>33</v>
      </c>
      <c r="I449" s="4" t="s">
        <v>138</v>
      </c>
      <c r="J449" s="4" t="s">
        <v>35</v>
      </c>
      <c r="K449" s="4" t="s">
        <v>244</v>
      </c>
      <c r="L449" s="4" t="s">
        <v>91</v>
      </c>
      <c r="M449" s="4" t="s">
        <v>41</v>
      </c>
      <c r="N449" s="4" t="s">
        <v>192</v>
      </c>
      <c r="O449" s="4">
        <v>56</v>
      </c>
      <c r="P449" s="4">
        <v>399</v>
      </c>
    </row>
    <row r="450" spans="1:16" hidden="1" x14ac:dyDescent="0.35">
      <c r="A450" s="4" t="s">
        <v>45</v>
      </c>
      <c r="C450" s="4">
        <v>1100</v>
      </c>
      <c r="D450" s="4">
        <v>4</v>
      </c>
      <c r="E450" s="12" t="s">
        <v>24</v>
      </c>
      <c r="F450" s="4">
        <v>2024</v>
      </c>
      <c r="G450" s="4" t="s">
        <v>32</v>
      </c>
      <c r="H450" s="4" t="s">
        <v>33</v>
      </c>
      <c r="I450" s="4" t="s">
        <v>138</v>
      </c>
      <c r="J450" s="4" t="s">
        <v>35</v>
      </c>
      <c r="K450" s="4" t="s">
        <v>244</v>
      </c>
      <c r="L450" s="4" t="s">
        <v>96</v>
      </c>
      <c r="M450" s="4" t="s">
        <v>41</v>
      </c>
      <c r="N450" s="4" t="s">
        <v>60</v>
      </c>
      <c r="O450" s="4">
        <v>7</v>
      </c>
      <c r="P450" s="4">
        <v>396</v>
      </c>
    </row>
    <row r="451" spans="1:16" hidden="1" x14ac:dyDescent="0.35">
      <c r="A451" s="4" t="s">
        <v>45</v>
      </c>
      <c r="C451" s="4">
        <v>1100</v>
      </c>
      <c r="D451" s="4">
        <v>4</v>
      </c>
      <c r="E451" s="12" t="s">
        <v>24</v>
      </c>
      <c r="F451" s="4">
        <v>2024</v>
      </c>
      <c r="G451" s="4" t="s">
        <v>32</v>
      </c>
      <c r="H451" s="4" t="s">
        <v>33</v>
      </c>
      <c r="I451" s="4" t="s">
        <v>138</v>
      </c>
      <c r="J451" s="4" t="s">
        <v>35</v>
      </c>
      <c r="K451" s="4" t="s">
        <v>244</v>
      </c>
      <c r="L451" s="4" t="s">
        <v>96</v>
      </c>
      <c r="M451" s="4" t="s">
        <v>41</v>
      </c>
      <c r="N451" s="4" t="s">
        <v>192</v>
      </c>
      <c r="O451" s="4">
        <v>3</v>
      </c>
      <c r="P451" s="4">
        <v>399</v>
      </c>
    </row>
    <row r="452" spans="1:16" hidden="1" x14ac:dyDescent="0.35">
      <c r="A452" s="4" t="s">
        <v>45</v>
      </c>
      <c r="C452" s="4">
        <v>1100</v>
      </c>
      <c r="D452" s="4">
        <v>4</v>
      </c>
      <c r="E452" s="12" t="s">
        <v>24</v>
      </c>
      <c r="F452" s="4">
        <v>2024</v>
      </c>
      <c r="G452" s="4" t="s">
        <v>32</v>
      </c>
      <c r="H452" s="4" t="s">
        <v>33</v>
      </c>
      <c r="I452" s="4" t="s">
        <v>139</v>
      </c>
      <c r="J452" s="4" t="s">
        <v>35</v>
      </c>
      <c r="K452" s="4" t="s">
        <v>244</v>
      </c>
      <c r="L452" s="4" t="s">
        <v>91</v>
      </c>
      <c r="M452" s="4" t="s">
        <v>41</v>
      </c>
      <c r="N452" s="4" t="s">
        <v>60</v>
      </c>
      <c r="O452" s="4">
        <v>51</v>
      </c>
      <c r="P452" s="4">
        <v>396</v>
      </c>
    </row>
    <row r="453" spans="1:16" hidden="1" x14ac:dyDescent="0.35">
      <c r="A453" s="4" t="s">
        <v>45</v>
      </c>
      <c r="C453" s="4">
        <v>1100</v>
      </c>
      <c r="D453" s="4">
        <v>4</v>
      </c>
      <c r="E453" s="12" t="s">
        <v>24</v>
      </c>
      <c r="F453" s="4">
        <v>2024</v>
      </c>
      <c r="G453" s="4" t="s">
        <v>32</v>
      </c>
      <c r="H453" s="4" t="s">
        <v>33</v>
      </c>
      <c r="I453" s="4" t="s">
        <v>139</v>
      </c>
      <c r="J453" s="4" t="s">
        <v>35</v>
      </c>
      <c r="K453" s="4" t="s">
        <v>244</v>
      </c>
      <c r="L453" s="4" t="s">
        <v>91</v>
      </c>
      <c r="M453" s="4" t="s">
        <v>41</v>
      </c>
      <c r="N453" s="4" t="s">
        <v>192</v>
      </c>
      <c r="O453" s="4">
        <v>33</v>
      </c>
      <c r="P453" s="4">
        <v>399</v>
      </c>
    </row>
    <row r="454" spans="1:16" hidden="1" x14ac:dyDescent="0.35">
      <c r="A454" s="4" t="s">
        <v>45</v>
      </c>
      <c r="C454" s="4">
        <v>1100</v>
      </c>
      <c r="D454" s="4">
        <v>4</v>
      </c>
      <c r="E454" s="12" t="s">
        <v>24</v>
      </c>
      <c r="F454" s="4">
        <v>2024</v>
      </c>
      <c r="G454" s="4" t="s">
        <v>32</v>
      </c>
      <c r="H454" s="4" t="s">
        <v>33</v>
      </c>
      <c r="I454" s="4" t="s">
        <v>139</v>
      </c>
      <c r="J454" s="4" t="s">
        <v>35</v>
      </c>
      <c r="K454" s="4" t="s">
        <v>244</v>
      </c>
      <c r="L454" s="4" t="s">
        <v>96</v>
      </c>
      <c r="M454" s="4" t="s">
        <v>41</v>
      </c>
      <c r="N454" s="4" t="s">
        <v>60</v>
      </c>
      <c r="O454" s="4">
        <v>7</v>
      </c>
      <c r="P454" s="4">
        <v>396</v>
      </c>
    </row>
    <row r="455" spans="1:16" hidden="1" x14ac:dyDescent="0.35">
      <c r="A455" s="4" t="s">
        <v>45</v>
      </c>
      <c r="C455" s="4">
        <v>1100</v>
      </c>
      <c r="D455" s="4">
        <v>4</v>
      </c>
      <c r="E455" s="12" t="s">
        <v>24</v>
      </c>
      <c r="F455" s="4">
        <v>2024</v>
      </c>
      <c r="G455" s="4" t="s">
        <v>32</v>
      </c>
      <c r="H455" s="4" t="s">
        <v>33</v>
      </c>
      <c r="I455" s="4" t="s">
        <v>139</v>
      </c>
      <c r="J455" s="4" t="s">
        <v>35</v>
      </c>
      <c r="K455" s="4" t="s">
        <v>244</v>
      </c>
      <c r="L455" s="4" t="s">
        <v>96</v>
      </c>
      <c r="M455" s="4" t="s">
        <v>41</v>
      </c>
      <c r="N455" s="4" t="s">
        <v>192</v>
      </c>
      <c r="O455" s="4">
        <v>4</v>
      </c>
      <c r="P455" s="4">
        <v>399</v>
      </c>
    </row>
    <row r="456" spans="1:16" hidden="1" x14ac:dyDescent="0.35">
      <c r="A456" s="4" t="s">
        <v>45</v>
      </c>
      <c r="C456" s="4">
        <v>1100</v>
      </c>
      <c r="D456" s="4">
        <v>4</v>
      </c>
      <c r="E456" s="12" t="s">
        <v>24</v>
      </c>
      <c r="F456" s="4">
        <v>2024</v>
      </c>
      <c r="G456" s="4" t="s">
        <v>32</v>
      </c>
      <c r="H456" s="4" t="s">
        <v>33</v>
      </c>
      <c r="I456" s="4" t="s">
        <v>140</v>
      </c>
      <c r="J456" s="4" t="s">
        <v>35</v>
      </c>
      <c r="K456" s="4" t="s">
        <v>244</v>
      </c>
      <c r="L456" s="4" t="s">
        <v>91</v>
      </c>
      <c r="M456" s="4" t="s">
        <v>41</v>
      </c>
      <c r="N456" s="4" t="s">
        <v>60</v>
      </c>
      <c r="O456" s="4">
        <v>47</v>
      </c>
      <c r="P456" s="4">
        <v>396</v>
      </c>
    </row>
    <row r="457" spans="1:16" hidden="1" x14ac:dyDescent="0.35">
      <c r="A457" s="4" t="s">
        <v>45</v>
      </c>
      <c r="C457" s="4">
        <v>1100</v>
      </c>
      <c r="D457" s="4">
        <v>4</v>
      </c>
      <c r="E457" s="12" t="s">
        <v>24</v>
      </c>
      <c r="F457" s="4">
        <v>2024</v>
      </c>
      <c r="G457" s="4" t="s">
        <v>32</v>
      </c>
      <c r="H457" s="4" t="s">
        <v>33</v>
      </c>
      <c r="I457" s="4" t="s">
        <v>140</v>
      </c>
      <c r="J457" s="4" t="s">
        <v>35</v>
      </c>
      <c r="K457" s="4" t="s">
        <v>244</v>
      </c>
      <c r="L457" s="4" t="s">
        <v>91</v>
      </c>
      <c r="M457" s="4" t="s">
        <v>41</v>
      </c>
      <c r="N457" s="4" t="s">
        <v>192</v>
      </c>
      <c r="O457" s="4">
        <v>26</v>
      </c>
      <c r="P457" s="4">
        <v>399</v>
      </c>
    </row>
    <row r="458" spans="1:16" hidden="1" x14ac:dyDescent="0.35">
      <c r="A458" s="4" t="s">
        <v>45</v>
      </c>
      <c r="C458" s="4">
        <v>1100</v>
      </c>
      <c r="D458" s="4">
        <v>4</v>
      </c>
      <c r="E458" s="12" t="s">
        <v>24</v>
      </c>
      <c r="F458" s="4">
        <v>2024</v>
      </c>
      <c r="G458" s="4" t="s">
        <v>32</v>
      </c>
      <c r="H458" s="4" t="s">
        <v>33</v>
      </c>
      <c r="I458" s="4" t="s">
        <v>140</v>
      </c>
      <c r="J458" s="4" t="s">
        <v>35</v>
      </c>
      <c r="K458" s="4" t="s">
        <v>244</v>
      </c>
      <c r="L458" s="4" t="s">
        <v>96</v>
      </c>
      <c r="M458" s="4" t="s">
        <v>41</v>
      </c>
      <c r="N458" s="4" t="s">
        <v>60</v>
      </c>
      <c r="O458" s="4">
        <v>2</v>
      </c>
      <c r="P458" s="4">
        <v>396</v>
      </c>
    </row>
    <row r="459" spans="1:16" hidden="1" x14ac:dyDescent="0.35">
      <c r="A459" s="4" t="s">
        <v>45</v>
      </c>
      <c r="C459" s="4">
        <v>1100</v>
      </c>
      <c r="D459" s="4">
        <v>4</v>
      </c>
      <c r="E459" s="12" t="s">
        <v>24</v>
      </c>
      <c r="F459" s="4">
        <v>2024</v>
      </c>
      <c r="G459" s="4" t="s">
        <v>32</v>
      </c>
      <c r="H459" s="4" t="s">
        <v>33</v>
      </c>
      <c r="I459" s="4" t="s">
        <v>140</v>
      </c>
      <c r="J459" s="4" t="s">
        <v>35</v>
      </c>
      <c r="K459" s="4" t="s">
        <v>244</v>
      </c>
      <c r="L459" s="4" t="s">
        <v>96</v>
      </c>
      <c r="M459" s="4" t="s">
        <v>41</v>
      </c>
      <c r="N459" s="4" t="s">
        <v>192</v>
      </c>
      <c r="O459" s="4">
        <v>0</v>
      </c>
      <c r="P459" s="4">
        <v>399</v>
      </c>
    </row>
    <row r="460" spans="1:16" hidden="1" x14ac:dyDescent="0.35">
      <c r="A460" s="4" t="s">
        <v>45</v>
      </c>
      <c r="C460" s="4">
        <v>1100</v>
      </c>
      <c r="D460" s="4">
        <v>4</v>
      </c>
      <c r="E460" s="12" t="s">
        <v>24</v>
      </c>
      <c r="F460" s="4">
        <v>2024</v>
      </c>
      <c r="G460" s="4" t="s">
        <v>32</v>
      </c>
      <c r="H460" s="4" t="s">
        <v>33</v>
      </c>
      <c r="I460" s="4" t="s">
        <v>141</v>
      </c>
      <c r="J460" s="4" t="s">
        <v>35</v>
      </c>
      <c r="K460" s="4" t="s">
        <v>244</v>
      </c>
      <c r="L460" s="4" t="s">
        <v>91</v>
      </c>
      <c r="M460" s="4" t="s">
        <v>41</v>
      </c>
      <c r="N460" s="4" t="s">
        <v>60</v>
      </c>
      <c r="O460" s="4">
        <v>45</v>
      </c>
      <c r="P460" s="4">
        <v>396</v>
      </c>
    </row>
    <row r="461" spans="1:16" hidden="1" x14ac:dyDescent="0.35">
      <c r="A461" s="4" t="s">
        <v>45</v>
      </c>
      <c r="C461" s="4">
        <v>1100</v>
      </c>
      <c r="D461" s="4">
        <v>4</v>
      </c>
      <c r="E461" s="12" t="s">
        <v>24</v>
      </c>
      <c r="F461" s="4">
        <v>2024</v>
      </c>
      <c r="G461" s="4" t="s">
        <v>32</v>
      </c>
      <c r="H461" s="4" t="s">
        <v>33</v>
      </c>
      <c r="I461" s="4" t="s">
        <v>141</v>
      </c>
      <c r="J461" s="4" t="s">
        <v>35</v>
      </c>
      <c r="K461" s="4" t="s">
        <v>244</v>
      </c>
      <c r="L461" s="4" t="s">
        <v>91</v>
      </c>
      <c r="M461" s="4" t="s">
        <v>41</v>
      </c>
      <c r="N461" s="4" t="s">
        <v>192</v>
      </c>
      <c r="O461" s="4">
        <v>57</v>
      </c>
      <c r="P461" s="4">
        <v>399</v>
      </c>
    </row>
    <row r="462" spans="1:16" hidden="1" x14ac:dyDescent="0.35">
      <c r="A462" s="4" t="s">
        <v>45</v>
      </c>
      <c r="C462" s="4">
        <v>1100</v>
      </c>
      <c r="D462" s="4">
        <v>4</v>
      </c>
      <c r="E462" s="12" t="s">
        <v>24</v>
      </c>
      <c r="F462" s="4">
        <v>2024</v>
      </c>
      <c r="G462" s="4" t="s">
        <v>32</v>
      </c>
      <c r="H462" s="4" t="s">
        <v>33</v>
      </c>
      <c r="I462" s="4" t="s">
        <v>141</v>
      </c>
      <c r="J462" s="4" t="s">
        <v>35</v>
      </c>
      <c r="K462" s="4" t="s">
        <v>244</v>
      </c>
      <c r="L462" s="4" t="s">
        <v>96</v>
      </c>
      <c r="M462" s="4" t="s">
        <v>41</v>
      </c>
      <c r="N462" s="4" t="s">
        <v>60</v>
      </c>
      <c r="O462" s="4">
        <v>4</v>
      </c>
      <c r="P462" s="4">
        <v>396</v>
      </c>
    </row>
    <row r="463" spans="1:16" hidden="1" x14ac:dyDescent="0.35">
      <c r="A463" s="4" t="s">
        <v>45</v>
      </c>
      <c r="C463" s="4">
        <v>1100</v>
      </c>
      <c r="D463" s="4">
        <v>4</v>
      </c>
      <c r="E463" s="12" t="s">
        <v>24</v>
      </c>
      <c r="F463" s="4">
        <v>2024</v>
      </c>
      <c r="G463" s="4" t="s">
        <v>32</v>
      </c>
      <c r="H463" s="4" t="s">
        <v>33</v>
      </c>
      <c r="I463" s="4" t="s">
        <v>141</v>
      </c>
      <c r="J463" s="4" t="s">
        <v>35</v>
      </c>
      <c r="K463" s="4" t="s">
        <v>244</v>
      </c>
      <c r="L463" s="4" t="s">
        <v>96</v>
      </c>
      <c r="M463" s="4" t="s">
        <v>41</v>
      </c>
      <c r="N463" s="4" t="s">
        <v>192</v>
      </c>
      <c r="O463" s="4">
        <v>2</v>
      </c>
      <c r="P463" s="4">
        <v>399</v>
      </c>
    </row>
    <row r="464" spans="1:16" hidden="1" x14ac:dyDescent="0.35">
      <c r="A464" s="4" t="s">
        <v>45</v>
      </c>
      <c r="C464" s="4">
        <v>1100</v>
      </c>
      <c r="D464" s="4">
        <v>4</v>
      </c>
      <c r="E464" s="12" t="s">
        <v>24</v>
      </c>
      <c r="F464" s="4">
        <v>2024</v>
      </c>
      <c r="G464" s="4" t="s">
        <v>32</v>
      </c>
      <c r="H464" s="4" t="s">
        <v>33</v>
      </c>
      <c r="I464" s="4" t="s">
        <v>34</v>
      </c>
      <c r="J464" s="4" t="s">
        <v>35</v>
      </c>
      <c r="K464" s="4" t="s">
        <v>244</v>
      </c>
      <c r="L464" s="4" t="s">
        <v>91</v>
      </c>
      <c r="M464" s="4" t="s">
        <v>41</v>
      </c>
      <c r="N464" s="4" t="s">
        <v>60</v>
      </c>
      <c r="O464" s="4">
        <v>41</v>
      </c>
      <c r="P464" s="4">
        <v>396</v>
      </c>
    </row>
    <row r="465" spans="1:16" hidden="1" x14ac:dyDescent="0.35">
      <c r="A465" s="4" t="s">
        <v>45</v>
      </c>
      <c r="C465" s="4">
        <v>1100</v>
      </c>
      <c r="D465" s="4">
        <v>4</v>
      </c>
      <c r="E465" s="12" t="s">
        <v>24</v>
      </c>
      <c r="F465" s="4">
        <v>2024</v>
      </c>
      <c r="G465" s="4" t="s">
        <v>32</v>
      </c>
      <c r="H465" s="4" t="s">
        <v>33</v>
      </c>
      <c r="I465" s="4" t="s">
        <v>34</v>
      </c>
      <c r="J465" s="4" t="s">
        <v>35</v>
      </c>
      <c r="K465" s="4" t="s">
        <v>244</v>
      </c>
      <c r="L465" s="4" t="s">
        <v>91</v>
      </c>
      <c r="M465" s="4" t="s">
        <v>41</v>
      </c>
      <c r="N465" s="4" t="s">
        <v>192</v>
      </c>
      <c r="O465" s="4">
        <v>41</v>
      </c>
      <c r="P465" s="4">
        <v>399</v>
      </c>
    </row>
    <row r="466" spans="1:16" hidden="1" x14ac:dyDescent="0.35">
      <c r="A466" s="4" t="s">
        <v>45</v>
      </c>
      <c r="C466" s="4">
        <v>1100</v>
      </c>
      <c r="D466" s="4">
        <v>4</v>
      </c>
      <c r="E466" s="12" t="s">
        <v>24</v>
      </c>
      <c r="F466" s="4">
        <v>2024</v>
      </c>
      <c r="G466" s="4" t="s">
        <v>32</v>
      </c>
      <c r="H466" s="4" t="s">
        <v>33</v>
      </c>
      <c r="I466" s="4" t="s">
        <v>34</v>
      </c>
      <c r="J466" s="4" t="s">
        <v>35</v>
      </c>
      <c r="K466" s="4" t="s">
        <v>244</v>
      </c>
      <c r="L466" s="4" t="s">
        <v>89</v>
      </c>
      <c r="M466" s="4" t="s">
        <v>41</v>
      </c>
      <c r="N466" s="4" t="s">
        <v>60</v>
      </c>
      <c r="O466" s="4">
        <v>0</v>
      </c>
      <c r="P466" s="4">
        <v>396</v>
      </c>
    </row>
    <row r="467" spans="1:16" hidden="1" x14ac:dyDescent="0.35">
      <c r="A467" s="4" t="s">
        <v>45</v>
      </c>
      <c r="C467" s="4">
        <v>1100</v>
      </c>
      <c r="D467" s="4">
        <v>4</v>
      </c>
      <c r="E467" s="12" t="s">
        <v>24</v>
      </c>
      <c r="F467" s="4">
        <v>2024</v>
      </c>
      <c r="G467" s="4" t="s">
        <v>32</v>
      </c>
      <c r="H467" s="4" t="s">
        <v>33</v>
      </c>
      <c r="I467" s="4" t="s">
        <v>34</v>
      </c>
      <c r="J467" s="4" t="s">
        <v>35</v>
      </c>
      <c r="K467" s="4" t="s">
        <v>244</v>
      </c>
      <c r="L467" s="4" t="s">
        <v>96</v>
      </c>
      <c r="M467" s="4" t="s">
        <v>41</v>
      </c>
      <c r="N467" s="4" t="s">
        <v>192</v>
      </c>
      <c r="O467" s="4">
        <v>1</v>
      </c>
      <c r="P467" s="4">
        <v>399</v>
      </c>
    </row>
    <row r="468" spans="1:16" hidden="1" x14ac:dyDescent="0.35">
      <c r="A468" s="4" t="s">
        <v>45</v>
      </c>
      <c r="C468" s="4">
        <v>1120</v>
      </c>
      <c r="D468" s="4">
        <v>5</v>
      </c>
      <c r="E468" s="12" t="s">
        <v>31</v>
      </c>
      <c r="F468" s="4">
        <v>2024</v>
      </c>
      <c r="G468" s="4" t="s">
        <v>32</v>
      </c>
      <c r="H468" s="4" t="s">
        <v>33</v>
      </c>
      <c r="I468" s="4" t="s">
        <v>142</v>
      </c>
      <c r="J468" s="4" t="s">
        <v>35</v>
      </c>
      <c r="K468" s="4" t="s">
        <v>244</v>
      </c>
      <c r="L468" s="4" t="s">
        <v>91</v>
      </c>
      <c r="M468" s="4" t="s">
        <v>37</v>
      </c>
      <c r="N468" s="4" t="s">
        <v>38</v>
      </c>
      <c r="O468" s="4">
        <v>133</v>
      </c>
      <c r="P468" s="4">
        <v>202</v>
      </c>
    </row>
    <row r="469" spans="1:16" hidden="1" x14ac:dyDescent="0.35">
      <c r="A469" s="4" t="s">
        <v>45</v>
      </c>
      <c r="C469" s="4">
        <v>1120</v>
      </c>
      <c r="D469" s="4">
        <v>5</v>
      </c>
      <c r="E469" s="12" t="s">
        <v>31</v>
      </c>
      <c r="F469" s="4">
        <v>2024</v>
      </c>
      <c r="G469" s="4" t="s">
        <v>32</v>
      </c>
      <c r="H469" s="4" t="s">
        <v>33</v>
      </c>
      <c r="I469" s="4" t="s">
        <v>142</v>
      </c>
      <c r="J469" s="4" t="s">
        <v>35</v>
      </c>
      <c r="K469" s="4" t="s">
        <v>244</v>
      </c>
      <c r="L469" s="4" t="s">
        <v>91</v>
      </c>
      <c r="M469" s="4" t="s">
        <v>37</v>
      </c>
      <c r="N469" s="4" t="s">
        <v>192</v>
      </c>
      <c r="O469" s="4">
        <v>132</v>
      </c>
      <c r="P469" s="4">
        <v>202</v>
      </c>
    </row>
    <row r="470" spans="1:16" hidden="1" x14ac:dyDescent="0.35">
      <c r="A470" s="4" t="s">
        <v>45</v>
      </c>
      <c r="C470" s="4">
        <v>1120</v>
      </c>
      <c r="D470" s="4">
        <v>5</v>
      </c>
      <c r="E470" s="12" t="s">
        <v>31</v>
      </c>
      <c r="F470" s="4">
        <v>2024</v>
      </c>
      <c r="G470" s="4" t="s">
        <v>32</v>
      </c>
      <c r="H470" s="4" t="s">
        <v>33</v>
      </c>
      <c r="I470" s="4" t="s">
        <v>142</v>
      </c>
      <c r="J470" s="4" t="s">
        <v>35</v>
      </c>
      <c r="K470" s="4" t="s">
        <v>244</v>
      </c>
      <c r="L470" s="4" t="s">
        <v>39</v>
      </c>
      <c r="M470" s="4" t="s">
        <v>37</v>
      </c>
      <c r="N470" s="4" t="s">
        <v>38</v>
      </c>
      <c r="O470" s="4">
        <v>18</v>
      </c>
      <c r="P470" s="4">
        <v>202</v>
      </c>
    </row>
    <row r="471" spans="1:16" hidden="1" x14ac:dyDescent="0.35">
      <c r="A471" s="4" t="s">
        <v>45</v>
      </c>
      <c r="C471" s="4">
        <v>1120</v>
      </c>
      <c r="D471" s="4">
        <v>5</v>
      </c>
      <c r="E471" s="12" t="s">
        <v>31</v>
      </c>
      <c r="F471" s="4">
        <v>2024</v>
      </c>
      <c r="G471" s="4" t="s">
        <v>32</v>
      </c>
      <c r="H471" s="4" t="s">
        <v>33</v>
      </c>
      <c r="I471" s="4" t="s">
        <v>142</v>
      </c>
      <c r="J471" s="4" t="s">
        <v>35</v>
      </c>
      <c r="K471" s="4" t="s">
        <v>244</v>
      </c>
      <c r="L471" s="4" t="s">
        <v>39</v>
      </c>
      <c r="M471" s="4" t="s">
        <v>37</v>
      </c>
      <c r="N471" s="4" t="s">
        <v>192</v>
      </c>
      <c r="O471" s="4">
        <v>16</v>
      </c>
      <c r="P471" s="4">
        <v>202</v>
      </c>
    </row>
    <row r="472" spans="1:16" hidden="1" x14ac:dyDescent="0.35">
      <c r="A472" s="4" t="s">
        <v>45</v>
      </c>
      <c r="C472" s="4">
        <v>1120</v>
      </c>
      <c r="D472" s="4">
        <v>5</v>
      </c>
      <c r="E472" s="12" t="s">
        <v>31</v>
      </c>
      <c r="F472" s="4">
        <v>2024</v>
      </c>
      <c r="G472" s="4" t="s">
        <v>32</v>
      </c>
      <c r="H472" s="4" t="s">
        <v>33</v>
      </c>
      <c r="I472" s="4" t="s">
        <v>143</v>
      </c>
      <c r="J472" s="4" t="s">
        <v>35</v>
      </c>
      <c r="K472" s="4" t="s">
        <v>244</v>
      </c>
      <c r="L472" s="4" t="s">
        <v>91</v>
      </c>
      <c r="M472" s="4" t="s">
        <v>37</v>
      </c>
      <c r="N472" s="4" t="s">
        <v>38</v>
      </c>
      <c r="O472" s="4">
        <v>114</v>
      </c>
      <c r="P472" s="4">
        <v>202</v>
      </c>
    </row>
    <row r="473" spans="1:16" hidden="1" x14ac:dyDescent="0.35">
      <c r="A473" s="4" t="s">
        <v>45</v>
      </c>
      <c r="C473" s="4">
        <v>1120</v>
      </c>
      <c r="D473" s="4">
        <v>5</v>
      </c>
      <c r="E473" s="12" t="s">
        <v>31</v>
      </c>
      <c r="F473" s="4">
        <v>2024</v>
      </c>
      <c r="G473" s="4" t="s">
        <v>32</v>
      </c>
      <c r="H473" s="4" t="s">
        <v>33</v>
      </c>
      <c r="I473" s="4" t="s">
        <v>143</v>
      </c>
      <c r="J473" s="4" t="s">
        <v>35</v>
      </c>
      <c r="K473" s="4" t="s">
        <v>244</v>
      </c>
      <c r="L473" s="4" t="s">
        <v>91</v>
      </c>
      <c r="M473" s="4" t="s">
        <v>37</v>
      </c>
      <c r="N473" s="4" t="s">
        <v>192</v>
      </c>
      <c r="O473" s="4">
        <v>106</v>
      </c>
      <c r="P473" s="4">
        <v>202</v>
      </c>
    </row>
    <row r="474" spans="1:16" hidden="1" x14ac:dyDescent="0.35">
      <c r="A474" s="4" t="s">
        <v>45</v>
      </c>
      <c r="C474" s="4">
        <v>1120</v>
      </c>
      <c r="D474" s="4">
        <v>5</v>
      </c>
      <c r="E474" s="12" t="s">
        <v>31</v>
      </c>
      <c r="F474" s="4">
        <v>2024</v>
      </c>
      <c r="G474" s="4" t="s">
        <v>32</v>
      </c>
      <c r="H474" s="4" t="s">
        <v>33</v>
      </c>
      <c r="I474" s="4" t="s">
        <v>143</v>
      </c>
      <c r="J474" s="4" t="s">
        <v>35</v>
      </c>
      <c r="K474" s="4" t="s">
        <v>244</v>
      </c>
      <c r="L474" s="4" t="s">
        <v>39</v>
      </c>
      <c r="M474" s="4" t="s">
        <v>37</v>
      </c>
      <c r="N474" s="4" t="s">
        <v>38</v>
      </c>
      <c r="O474" s="4">
        <v>68</v>
      </c>
      <c r="P474" s="4">
        <v>202</v>
      </c>
    </row>
    <row r="475" spans="1:16" hidden="1" x14ac:dyDescent="0.35">
      <c r="A475" s="4" t="s">
        <v>45</v>
      </c>
      <c r="C475" s="4">
        <v>1120</v>
      </c>
      <c r="D475" s="4">
        <v>5</v>
      </c>
      <c r="E475" s="12" t="s">
        <v>31</v>
      </c>
      <c r="F475" s="4">
        <v>2024</v>
      </c>
      <c r="G475" s="4" t="s">
        <v>32</v>
      </c>
      <c r="H475" s="4" t="s">
        <v>33</v>
      </c>
      <c r="I475" s="4" t="s">
        <v>143</v>
      </c>
      <c r="J475" s="4" t="s">
        <v>35</v>
      </c>
      <c r="K475" s="4" t="s">
        <v>244</v>
      </c>
      <c r="L475" s="4" t="s">
        <v>39</v>
      </c>
      <c r="M475" s="4" t="s">
        <v>37</v>
      </c>
      <c r="N475" s="4" t="s">
        <v>192</v>
      </c>
      <c r="O475" s="4">
        <v>60</v>
      </c>
      <c r="P475" s="4">
        <v>202</v>
      </c>
    </row>
    <row r="476" spans="1:16" hidden="1" x14ac:dyDescent="0.35">
      <c r="A476" s="4" t="s">
        <v>45</v>
      </c>
      <c r="C476" s="4">
        <v>1120</v>
      </c>
      <c r="D476" s="4">
        <v>5</v>
      </c>
      <c r="E476" s="12" t="s">
        <v>31</v>
      </c>
      <c r="F476" s="4">
        <v>2024</v>
      </c>
      <c r="G476" s="4" t="s">
        <v>32</v>
      </c>
      <c r="H476" s="4" t="s">
        <v>33</v>
      </c>
      <c r="I476" s="4" t="s">
        <v>144</v>
      </c>
      <c r="J476" s="4" t="s">
        <v>35</v>
      </c>
      <c r="K476" s="4" t="s">
        <v>244</v>
      </c>
      <c r="L476" s="4" t="s">
        <v>91</v>
      </c>
      <c r="M476" s="4" t="s">
        <v>37</v>
      </c>
      <c r="N476" s="4" t="s">
        <v>38</v>
      </c>
      <c r="O476" s="4">
        <v>110</v>
      </c>
      <c r="P476" s="4">
        <v>202</v>
      </c>
    </row>
    <row r="477" spans="1:16" hidden="1" x14ac:dyDescent="0.35">
      <c r="A477" s="4" t="s">
        <v>45</v>
      </c>
      <c r="C477" s="4">
        <v>1120</v>
      </c>
      <c r="D477" s="4">
        <v>5</v>
      </c>
      <c r="E477" s="12" t="s">
        <v>31</v>
      </c>
      <c r="F477" s="4">
        <v>2024</v>
      </c>
      <c r="G477" s="4" t="s">
        <v>32</v>
      </c>
      <c r="H477" s="4" t="s">
        <v>33</v>
      </c>
      <c r="I477" s="4" t="s">
        <v>144</v>
      </c>
      <c r="J477" s="4" t="s">
        <v>35</v>
      </c>
      <c r="K477" s="4" t="s">
        <v>244</v>
      </c>
      <c r="L477" s="4" t="s">
        <v>91</v>
      </c>
      <c r="M477" s="4" t="s">
        <v>37</v>
      </c>
      <c r="N477" s="4" t="s">
        <v>192</v>
      </c>
      <c r="O477" s="4">
        <v>97</v>
      </c>
      <c r="P477" s="4">
        <v>202</v>
      </c>
    </row>
    <row r="478" spans="1:16" hidden="1" x14ac:dyDescent="0.35">
      <c r="A478" s="4" t="s">
        <v>45</v>
      </c>
      <c r="C478" s="4">
        <v>1120</v>
      </c>
      <c r="D478" s="4">
        <v>5</v>
      </c>
      <c r="E478" s="12" t="s">
        <v>31</v>
      </c>
      <c r="F478" s="4">
        <v>2024</v>
      </c>
      <c r="G478" s="4" t="s">
        <v>32</v>
      </c>
      <c r="H478" s="4" t="s">
        <v>33</v>
      </c>
      <c r="I478" s="4" t="s">
        <v>144</v>
      </c>
      <c r="J478" s="4" t="s">
        <v>35</v>
      </c>
      <c r="K478" s="4" t="s">
        <v>244</v>
      </c>
      <c r="L478" s="4" t="s">
        <v>39</v>
      </c>
      <c r="M478" s="4" t="s">
        <v>37</v>
      </c>
      <c r="N478" s="4" t="s">
        <v>38</v>
      </c>
      <c r="O478" s="4">
        <v>30</v>
      </c>
      <c r="P478" s="4">
        <v>202</v>
      </c>
    </row>
    <row r="479" spans="1:16" hidden="1" x14ac:dyDescent="0.35">
      <c r="A479" s="4" t="s">
        <v>45</v>
      </c>
      <c r="C479" s="4">
        <v>1120</v>
      </c>
      <c r="D479" s="4">
        <v>5</v>
      </c>
      <c r="E479" s="12" t="s">
        <v>31</v>
      </c>
      <c r="F479" s="4">
        <v>2024</v>
      </c>
      <c r="G479" s="4" t="s">
        <v>32</v>
      </c>
      <c r="H479" s="4" t="s">
        <v>33</v>
      </c>
      <c r="I479" s="4" t="s">
        <v>144</v>
      </c>
      <c r="J479" s="4" t="s">
        <v>35</v>
      </c>
      <c r="K479" s="4" t="s">
        <v>244</v>
      </c>
      <c r="L479" s="4" t="s">
        <v>39</v>
      </c>
      <c r="M479" s="4" t="s">
        <v>37</v>
      </c>
      <c r="N479" s="4" t="s">
        <v>192</v>
      </c>
      <c r="O479" s="4">
        <v>16</v>
      </c>
      <c r="P479" s="4">
        <v>202</v>
      </c>
    </row>
    <row r="480" spans="1:16" hidden="1" x14ac:dyDescent="0.35">
      <c r="A480" s="4" t="s">
        <v>45</v>
      </c>
      <c r="C480" s="4">
        <v>1120</v>
      </c>
      <c r="D480" s="4">
        <v>5</v>
      </c>
      <c r="E480" s="12" t="s">
        <v>31</v>
      </c>
      <c r="F480" s="4">
        <v>2024</v>
      </c>
      <c r="G480" s="4" t="s">
        <v>32</v>
      </c>
      <c r="H480" s="4" t="s">
        <v>33</v>
      </c>
      <c r="I480" s="4" t="s">
        <v>145</v>
      </c>
      <c r="J480" s="4" t="s">
        <v>35</v>
      </c>
      <c r="K480" s="4" t="s">
        <v>244</v>
      </c>
      <c r="L480" s="4" t="s">
        <v>91</v>
      </c>
      <c r="M480" s="4" t="s">
        <v>37</v>
      </c>
      <c r="N480" s="4" t="s">
        <v>38</v>
      </c>
      <c r="O480" s="4">
        <v>69</v>
      </c>
      <c r="P480" s="4">
        <v>202</v>
      </c>
    </row>
    <row r="481" spans="1:16" hidden="1" x14ac:dyDescent="0.35">
      <c r="A481" s="4" t="s">
        <v>45</v>
      </c>
      <c r="C481" s="4">
        <v>1120</v>
      </c>
      <c r="D481" s="4">
        <v>5</v>
      </c>
      <c r="E481" s="12" t="s">
        <v>31</v>
      </c>
      <c r="F481" s="4">
        <v>2024</v>
      </c>
      <c r="G481" s="4" t="s">
        <v>32</v>
      </c>
      <c r="H481" s="4" t="s">
        <v>33</v>
      </c>
      <c r="I481" s="4" t="s">
        <v>145</v>
      </c>
      <c r="J481" s="4" t="s">
        <v>35</v>
      </c>
      <c r="K481" s="4" t="s">
        <v>244</v>
      </c>
      <c r="L481" s="4" t="s">
        <v>91</v>
      </c>
      <c r="M481" s="4" t="s">
        <v>37</v>
      </c>
      <c r="N481" s="4" t="s">
        <v>192</v>
      </c>
      <c r="O481" s="4">
        <v>47</v>
      </c>
      <c r="P481" s="4">
        <v>202</v>
      </c>
    </row>
    <row r="482" spans="1:16" hidden="1" x14ac:dyDescent="0.35">
      <c r="A482" s="4" t="s">
        <v>45</v>
      </c>
      <c r="C482" s="4">
        <v>1120</v>
      </c>
      <c r="D482" s="4">
        <v>5</v>
      </c>
      <c r="E482" s="12" t="s">
        <v>31</v>
      </c>
      <c r="F482" s="4">
        <v>2024</v>
      </c>
      <c r="G482" s="4" t="s">
        <v>32</v>
      </c>
      <c r="H482" s="4" t="s">
        <v>33</v>
      </c>
      <c r="I482" s="4" t="s">
        <v>145</v>
      </c>
      <c r="J482" s="4" t="s">
        <v>35</v>
      </c>
      <c r="K482" s="4" t="s">
        <v>244</v>
      </c>
      <c r="L482" s="4" t="s">
        <v>39</v>
      </c>
      <c r="M482" s="4" t="s">
        <v>37</v>
      </c>
      <c r="N482" s="4" t="s">
        <v>38</v>
      </c>
      <c r="O482" s="4">
        <v>1</v>
      </c>
      <c r="P482" s="4">
        <v>202</v>
      </c>
    </row>
    <row r="483" spans="1:16" hidden="1" x14ac:dyDescent="0.35">
      <c r="A483" s="4" t="s">
        <v>45</v>
      </c>
      <c r="C483" s="4">
        <v>1120</v>
      </c>
      <c r="D483" s="4">
        <v>5</v>
      </c>
      <c r="E483" s="12" t="s">
        <v>31</v>
      </c>
      <c r="F483" s="4">
        <v>2024</v>
      </c>
      <c r="G483" s="4" t="s">
        <v>32</v>
      </c>
      <c r="H483" s="4" t="s">
        <v>33</v>
      </c>
      <c r="I483" s="4" t="s">
        <v>145</v>
      </c>
      <c r="J483" s="4" t="s">
        <v>35</v>
      </c>
      <c r="K483" s="4" t="s">
        <v>244</v>
      </c>
      <c r="L483" s="4" t="s">
        <v>39</v>
      </c>
      <c r="M483" s="4" t="s">
        <v>37</v>
      </c>
      <c r="N483" s="4" t="s">
        <v>192</v>
      </c>
      <c r="O483" s="4">
        <v>1</v>
      </c>
      <c r="P483" s="4">
        <v>202</v>
      </c>
    </row>
    <row r="484" spans="1:16" hidden="1" x14ac:dyDescent="0.35">
      <c r="A484" s="4" t="s">
        <v>45</v>
      </c>
      <c r="C484" s="4">
        <v>1120</v>
      </c>
      <c r="D484" s="4">
        <v>5</v>
      </c>
      <c r="E484" s="12" t="s">
        <v>31</v>
      </c>
      <c r="F484" s="4">
        <v>2024</v>
      </c>
      <c r="G484" s="4" t="s">
        <v>32</v>
      </c>
      <c r="H484" s="4" t="s">
        <v>33</v>
      </c>
      <c r="I484" s="4" t="s">
        <v>146</v>
      </c>
      <c r="J484" s="4" t="s">
        <v>35</v>
      </c>
      <c r="K484" s="4" t="s">
        <v>244</v>
      </c>
      <c r="L484" s="4" t="s">
        <v>91</v>
      </c>
      <c r="M484" s="4" t="s">
        <v>37</v>
      </c>
      <c r="N484" s="4" t="s">
        <v>38</v>
      </c>
      <c r="O484" s="4">
        <v>66</v>
      </c>
      <c r="P484" s="4">
        <v>202</v>
      </c>
    </row>
    <row r="485" spans="1:16" hidden="1" x14ac:dyDescent="0.35">
      <c r="A485" s="4" t="s">
        <v>45</v>
      </c>
      <c r="C485" s="4">
        <v>1120</v>
      </c>
      <c r="D485" s="4">
        <v>5</v>
      </c>
      <c r="E485" s="12" t="s">
        <v>31</v>
      </c>
      <c r="F485" s="4">
        <v>2024</v>
      </c>
      <c r="G485" s="4" t="s">
        <v>32</v>
      </c>
      <c r="H485" s="4" t="s">
        <v>33</v>
      </c>
      <c r="I485" s="4" t="s">
        <v>146</v>
      </c>
      <c r="J485" s="4" t="s">
        <v>35</v>
      </c>
      <c r="K485" s="4" t="s">
        <v>244</v>
      </c>
      <c r="L485" s="4" t="s">
        <v>91</v>
      </c>
      <c r="M485" s="4" t="s">
        <v>37</v>
      </c>
      <c r="N485" s="4" t="s">
        <v>192</v>
      </c>
      <c r="O485" s="4">
        <v>47</v>
      </c>
      <c r="P485" s="4">
        <v>202</v>
      </c>
    </row>
    <row r="486" spans="1:16" hidden="1" x14ac:dyDescent="0.35">
      <c r="A486" s="4" t="s">
        <v>45</v>
      </c>
      <c r="C486" s="4">
        <v>1120</v>
      </c>
      <c r="D486" s="4">
        <v>5</v>
      </c>
      <c r="E486" s="12" t="s">
        <v>31</v>
      </c>
      <c r="F486" s="4">
        <v>2024</v>
      </c>
      <c r="G486" s="4" t="s">
        <v>32</v>
      </c>
      <c r="H486" s="4" t="s">
        <v>33</v>
      </c>
      <c r="I486" s="4" t="s">
        <v>146</v>
      </c>
      <c r="J486" s="4" t="s">
        <v>35</v>
      </c>
      <c r="K486" s="4" t="s">
        <v>244</v>
      </c>
      <c r="L486" s="4" t="s">
        <v>39</v>
      </c>
      <c r="M486" s="4" t="s">
        <v>37</v>
      </c>
      <c r="N486" s="4" t="s">
        <v>38</v>
      </c>
      <c r="O486" s="4">
        <v>4</v>
      </c>
      <c r="P486" s="4">
        <v>202</v>
      </c>
    </row>
    <row r="487" spans="1:16" hidden="1" x14ac:dyDescent="0.35">
      <c r="A487" s="4" t="s">
        <v>45</v>
      </c>
      <c r="C487" s="4">
        <v>1120</v>
      </c>
      <c r="D487" s="4">
        <v>5</v>
      </c>
      <c r="E487" s="12" t="s">
        <v>31</v>
      </c>
      <c r="F487" s="4">
        <v>2024</v>
      </c>
      <c r="G487" s="4" t="s">
        <v>32</v>
      </c>
      <c r="H487" s="4" t="s">
        <v>33</v>
      </c>
      <c r="I487" s="4" t="s">
        <v>146</v>
      </c>
      <c r="J487" s="4" t="s">
        <v>35</v>
      </c>
      <c r="K487" s="4" t="s">
        <v>244</v>
      </c>
      <c r="L487" s="4" t="s">
        <v>39</v>
      </c>
      <c r="M487" s="4" t="s">
        <v>37</v>
      </c>
      <c r="N487" s="4" t="s">
        <v>192</v>
      </c>
      <c r="O487" s="4">
        <v>1</v>
      </c>
      <c r="P487" s="4">
        <v>202</v>
      </c>
    </row>
    <row r="488" spans="1:16" hidden="1" x14ac:dyDescent="0.35">
      <c r="A488" s="4" t="s">
        <v>45</v>
      </c>
      <c r="C488" s="4">
        <v>1120</v>
      </c>
      <c r="D488" s="4">
        <v>5</v>
      </c>
      <c r="E488" s="12" t="s">
        <v>31</v>
      </c>
      <c r="F488" s="4">
        <v>2024</v>
      </c>
      <c r="G488" s="4" t="s">
        <v>32</v>
      </c>
      <c r="H488" s="4" t="s">
        <v>33</v>
      </c>
      <c r="I488" s="4" t="s">
        <v>147</v>
      </c>
      <c r="J488" s="4" t="s">
        <v>35</v>
      </c>
      <c r="K488" s="4" t="s">
        <v>244</v>
      </c>
      <c r="L488" s="4" t="s">
        <v>91</v>
      </c>
      <c r="M488" s="4" t="s">
        <v>37</v>
      </c>
      <c r="N488" s="4" t="s">
        <v>38</v>
      </c>
      <c r="O488" s="4">
        <v>64</v>
      </c>
      <c r="P488" s="4">
        <v>202</v>
      </c>
    </row>
    <row r="489" spans="1:16" hidden="1" x14ac:dyDescent="0.35">
      <c r="A489" s="4" t="s">
        <v>45</v>
      </c>
      <c r="C489" s="4">
        <v>1120</v>
      </c>
      <c r="D489" s="4">
        <v>5</v>
      </c>
      <c r="E489" s="12" t="s">
        <v>31</v>
      </c>
      <c r="F489" s="4">
        <v>2024</v>
      </c>
      <c r="G489" s="4" t="s">
        <v>32</v>
      </c>
      <c r="H489" s="4" t="s">
        <v>33</v>
      </c>
      <c r="I489" s="4" t="s">
        <v>147</v>
      </c>
      <c r="J489" s="4" t="s">
        <v>35</v>
      </c>
      <c r="K489" s="4" t="s">
        <v>244</v>
      </c>
      <c r="L489" s="4" t="s">
        <v>91</v>
      </c>
      <c r="M489" s="4" t="s">
        <v>37</v>
      </c>
      <c r="N489" s="4" t="s">
        <v>192</v>
      </c>
      <c r="O489" s="4">
        <v>40</v>
      </c>
      <c r="P489" s="4">
        <v>202</v>
      </c>
    </row>
    <row r="490" spans="1:16" hidden="1" x14ac:dyDescent="0.35">
      <c r="A490" s="4" t="s">
        <v>45</v>
      </c>
      <c r="C490" s="4">
        <v>1120</v>
      </c>
      <c r="D490" s="4">
        <v>5</v>
      </c>
      <c r="E490" s="12" t="s">
        <v>31</v>
      </c>
      <c r="F490" s="4">
        <v>2024</v>
      </c>
      <c r="G490" s="4" t="s">
        <v>32</v>
      </c>
      <c r="H490" s="4" t="s">
        <v>33</v>
      </c>
      <c r="I490" s="4" t="s">
        <v>147</v>
      </c>
      <c r="J490" s="4" t="s">
        <v>35</v>
      </c>
      <c r="K490" s="4" t="s">
        <v>244</v>
      </c>
      <c r="L490" s="4" t="s">
        <v>39</v>
      </c>
      <c r="M490" s="4" t="s">
        <v>37</v>
      </c>
      <c r="N490" s="4" t="s">
        <v>38</v>
      </c>
      <c r="O490" s="4">
        <v>2</v>
      </c>
      <c r="P490" s="4">
        <v>202</v>
      </c>
    </row>
    <row r="491" spans="1:16" hidden="1" x14ac:dyDescent="0.35">
      <c r="A491" s="4" t="s">
        <v>45</v>
      </c>
      <c r="C491" s="4">
        <v>1120</v>
      </c>
      <c r="D491" s="4">
        <v>5</v>
      </c>
      <c r="E491" s="12" t="s">
        <v>31</v>
      </c>
      <c r="F491" s="4">
        <v>2024</v>
      </c>
      <c r="G491" s="4" t="s">
        <v>32</v>
      </c>
      <c r="H491" s="4" t="s">
        <v>33</v>
      </c>
      <c r="I491" s="4" t="s">
        <v>147</v>
      </c>
      <c r="J491" s="4" t="s">
        <v>35</v>
      </c>
      <c r="K491" s="4" t="s">
        <v>244</v>
      </c>
      <c r="L491" s="4" t="s">
        <v>39</v>
      </c>
      <c r="M491" s="4" t="s">
        <v>37</v>
      </c>
      <c r="N491" s="4" t="s">
        <v>192</v>
      </c>
      <c r="O491" s="4">
        <v>0</v>
      </c>
      <c r="P491" s="4">
        <v>202</v>
      </c>
    </row>
    <row r="492" spans="1:16" hidden="1" x14ac:dyDescent="0.35">
      <c r="A492" s="4" t="s">
        <v>45</v>
      </c>
      <c r="C492" s="4">
        <v>1120</v>
      </c>
      <c r="D492" s="4">
        <v>5</v>
      </c>
      <c r="E492" s="12" t="s">
        <v>31</v>
      </c>
      <c r="F492" s="4">
        <v>2024</v>
      </c>
      <c r="G492" s="4" t="s">
        <v>32</v>
      </c>
      <c r="H492" s="4" t="s">
        <v>33</v>
      </c>
      <c r="I492" s="4" t="s">
        <v>148</v>
      </c>
      <c r="J492" s="4" t="s">
        <v>35</v>
      </c>
      <c r="K492" s="4" t="s">
        <v>244</v>
      </c>
      <c r="L492" s="4" t="s">
        <v>91</v>
      </c>
      <c r="M492" s="4" t="s">
        <v>37</v>
      </c>
      <c r="N492" s="4" t="s">
        <v>38</v>
      </c>
      <c r="O492" s="4">
        <v>60</v>
      </c>
      <c r="P492" s="4">
        <v>202</v>
      </c>
    </row>
    <row r="493" spans="1:16" hidden="1" x14ac:dyDescent="0.35">
      <c r="A493" s="4" t="s">
        <v>45</v>
      </c>
      <c r="C493" s="4">
        <v>1120</v>
      </c>
      <c r="D493" s="4">
        <v>5</v>
      </c>
      <c r="E493" s="12" t="s">
        <v>31</v>
      </c>
      <c r="F493" s="4">
        <v>2024</v>
      </c>
      <c r="G493" s="4" t="s">
        <v>32</v>
      </c>
      <c r="H493" s="4" t="s">
        <v>33</v>
      </c>
      <c r="I493" s="4" t="s">
        <v>148</v>
      </c>
      <c r="J493" s="4" t="s">
        <v>35</v>
      </c>
      <c r="K493" s="4" t="s">
        <v>244</v>
      </c>
      <c r="L493" s="4" t="s">
        <v>91</v>
      </c>
      <c r="M493" s="4" t="s">
        <v>37</v>
      </c>
      <c r="N493" s="4" t="s">
        <v>192</v>
      </c>
      <c r="O493" s="4">
        <v>53</v>
      </c>
      <c r="P493" s="4">
        <v>202</v>
      </c>
    </row>
    <row r="494" spans="1:16" hidden="1" x14ac:dyDescent="0.35">
      <c r="A494" s="4" t="s">
        <v>45</v>
      </c>
      <c r="C494" s="4">
        <v>1120</v>
      </c>
      <c r="D494" s="4">
        <v>5</v>
      </c>
      <c r="E494" s="12" t="s">
        <v>31</v>
      </c>
      <c r="F494" s="4">
        <v>2024</v>
      </c>
      <c r="G494" s="4" t="s">
        <v>32</v>
      </c>
      <c r="H494" s="4" t="s">
        <v>33</v>
      </c>
      <c r="I494" s="4" t="s">
        <v>148</v>
      </c>
      <c r="J494" s="4" t="s">
        <v>35</v>
      </c>
      <c r="K494" s="4" t="s">
        <v>244</v>
      </c>
      <c r="L494" s="4" t="s">
        <v>39</v>
      </c>
      <c r="M494" s="4" t="s">
        <v>37</v>
      </c>
      <c r="N494" s="4" t="s">
        <v>38</v>
      </c>
      <c r="O494" s="4">
        <v>0</v>
      </c>
      <c r="P494" s="4">
        <v>202</v>
      </c>
    </row>
    <row r="495" spans="1:16" hidden="1" x14ac:dyDescent="0.35">
      <c r="A495" s="4" t="s">
        <v>45</v>
      </c>
      <c r="C495" s="4">
        <v>1120</v>
      </c>
      <c r="D495" s="4">
        <v>5</v>
      </c>
      <c r="E495" s="12" t="s">
        <v>31</v>
      </c>
      <c r="F495" s="4">
        <v>2024</v>
      </c>
      <c r="G495" s="4" t="s">
        <v>32</v>
      </c>
      <c r="H495" s="4" t="s">
        <v>33</v>
      </c>
      <c r="I495" s="4" t="s">
        <v>148</v>
      </c>
      <c r="J495" s="4" t="s">
        <v>35</v>
      </c>
      <c r="K495" s="4" t="s">
        <v>244</v>
      </c>
      <c r="L495" s="4" t="s">
        <v>39</v>
      </c>
      <c r="M495" s="4" t="s">
        <v>37</v>
      </c>
      <c r="N495" s="4" t="s">
        <v>192</v>
      </c>
      <c r="O495" s="4">
        <v>0</v>
      </c>
      <c r="P495" s="4">
        <v>202</v>
      </c>
    </row>
    <row r="496" spans="1:16" hidden="1" x14ac:dyDescent="0.35">
      <c r="A496" s="4" t="s">
        <v>45</v>
      </c>
      <c r="C496" s="4">
        <v>1120</v>
      </c>
      <c r="D496" s="4">
        <v>5</v>
      </c>
      <c r="E496" s="12" t="s">
        <v>31</v>
      </c>
      <c r="F496" s="4">
        <v>2024</v>
      </c>
      <c r="G496" s="4" t="s">
        <v>32</v>
      </c>
      <c r="H496" s="4" t="s">
        <v>33</v>
      </c>
      <c r="I496" s="4" t="s">
        <v>149</v>
      </c>
      <c r="J496" s="4" t="s">
        <v>35</v>
      </c>
      <c r="K496" s="4" t="s">
        <v>244</v>
      </c>
      <c r="L496" s="4" t="s">
        <v>91</v>
      </c>
      <c r="M496" s="4" t="s">
        <v>37</v>
      </c>
      <c r="N496" s="4" t="s">
        <v>38</v>
      </c>
      <c r="O496" s="4">
        <v>57</v>
      </c>
      <c r="P496" s="4">
        <v>202</v>
      </c>
    </row>
    <row r="497" spans="1:16" hidden="1" x14ac:dyDescent="0.35">
      <c r="A497" s="4" t="s">
        <v>45</v>
      </c>
      <c r="C497" s="4">
        <v>1120</v>
      </c>
      <c r="D497" s="4">
        <v>5</v>
      </c>
      <c r="E497" s="12" t="s">
        <v>31</v>
      </c>
      <c r="F497" s="4">
        <v>2024</v>
      </c>
      <c r="G497" s="4" t="s">
        <v>32</v>
      </c>
      <c r="H497" s="4" t="s">
        <v>33</v>
      </c>
      <c r="I497" s="4" t="s">
        <v>149</v>
      </c>
      <c r="J497" s="4" t="s">
        <v>35</v>
      </c>
      <c r="K497" s="4" t="s">
        <v>244</v>
      </c>
      <c r="L497" s="4" t="s">
        <v>91</v>
      </c>
      <c r="M497" s="4" t="s">
        <v>37</v>
      </c>
      <c r="N497" s="4" t="s">
        <v>192</v>
      </c>
      <c r="O497" s="4">
        <v>51</v>
      </c>
      <c r="P497" s="4">
        <v>202</v>
      </c>
    </row>
    <row r="498" spans="1:16" hidden="1" x14ac:dyDescent="0.35">
      <c r="A498" s="4" t="s">
        <v>45</v>
      </c>
      <c r="C498" s="4">
        <v>1120</v>
      </c>
      <c r="D498" s="4">
        <v>5</v>
      </c>
      <c r="E498" s="12" t="s">
        <v>31</v>
      </c>
      <c r="F498" s="4">
        <v>2024</v>
      </c>
      <c r="G498" s="4" t="s">
        <v>32</v>
      </c>
      <c r="H498" s="4" t="s">
        <v>33</v>
      </c>
      <c r="I498" s="4" t="s">
        <v>149</v>
      </c>
      <c r="J498" s="4" t="s">
        <v>35</v>
      </c>
      <c r="K498" s="4" t="s">
        <v>244</v>
      </c>
      <c r="L498" s="4" t="s">
        <v>39</v>
      </c>
      <c r="M498" s="4" t="s">
        <v>37</v>
      </c>
      <c r="N498" s="4" t="s">
        <v>38</v>
      </c>
      <c r="O498" s="4">
        <v>3</v>
      </c>
      <c r="P498" s="4">
        <v>202</v>
      </c>
    </row>
    <row r="499" spans="1:16" hidden="1" x14ac:dyDescent="0.35">
      <c r="A499" s="4" t="s">
        <v>45</v>
      </c>
      <c r="C499" s="4">
        <v>1120</v>
      </c>
      <c r="D499" s="4">
        <v>5</v>
      </c>
      <c r="E499" s="12" t="s">
        <v>31</v>
      </c>
      <c r="F499" s="4">
        <v>2024</v>
      </c>
      <c r="G499" s="4" t="s">
        <v>32</v>
      </c>
      <c r="H499" s="4" t="s">
        <v>33</v>
      </c>
      <c r="I499" s="4" t="s">
        <v>149</v>
      </c>
      <c r="J499" s="4" t="s">
        <v>35</v>
      </c>
      <c r="K499" s="4" t="s">
        <v>244</v>
      </c>
      <c r="L499" s="4" t="s">
        <v>39</v>
      </c>
      <c r="M499" s="4" t="s">
        <v>37</v>
      </c>
      <c r="N499" s="4" t="s">
        <v>192</v>
      </c>
      <c r="O499" s="4">
        <v>2</v>
      </c>
      <c r="P499" s="4">
        <v>202</v>
      </c>
    </row>
    <row r="500" spans="1:16" hidden="1" x14ac:dyDescent="0.35">
      <c r="A500" s="4" t="s">
        <v>45</v>
      </c>
      <c r="C500" s="4">
        <v>1120</v>
      </c>
      <c r="D500" s="4">
        <v>5</v>
      </c>
      <c r="E500" s="12" t="s">
        <v>31</v>
      </c>
      <c r="F500" s="4">
        <v>2024</v>
      </c>
      <c r="G500" s="4" t="s">
        <v>32</v>
      </c>
      <c r="H500" s="4" t="s">
        <v>33</v>
      </c>
      <c r="I500" s="4" t="s">
        <v>34</v>
      </c>
      <c r="J500" s="4" t="s">
        <v>35</v>
      </c>
      <c r="K500" s="4" t="s">
        <v>244</v>
      </c>
      <c r="L500" s="4" t="s">
        <v>91</v>
      </c>
      <c r="M500" s="4" t="s">
        <v>37</v>
      </c>
      <c r="N500" s="4" t="s">
        <v>38</v>
      </c>
      <c r="O500" s="4">
        <v>56</v>
      </c>
      <c r="P500" s="4">
        <v>202</v>
      </c>
    </row>
    <row r="501" spans="1:16" hidden="1" x14ac:dyDescent="0.35">
      <c r="A501" s="4" t="s">
        <v>45</v>
      </c>
      <c r="C501" s="4">
        <v>1120</v>
      </c>
      <c r="D501" s="4">
        <v>5</v>
      </c>
      <c r="E501" s="12" t="s">
        <v>31</v>
      </c>
      <c r="F501" s="4">
        <v>2024</v>
      </c>
      <c r="G501" s="4" t="s">
        <v>32</v>
      </c>
      <c r="H501" s="4" t="s">
        <v>33</v>
      </c>
      <c r="I501" s="4" t="s">
        <v>34</v>
      </c>
      <c r="J501" s="4" t="s">
        <v>35</v>
      </c>
      <c r="K501" s="4" t="s">
        <v>244</v>
      </c>
      <c r="L501" s="4" t="s">
        <v>91</v>
      </c>
      <c r="M501" s="4" t="s">
        <v>37</v>
      </c>
      <c r="N501" s="4" t="s">
        <v>192</v>
      </c>
      <c r="O501" s="4">
        <v>60</v>
      </c>
      <c r="P501" s="4">
        <v>202</v>
      </c>
    </row>
    <row r="502" spans="1:16" hidden="1" x14ac:dyDescent="0.35">
      <c r="A502" s="4" t="s">
        <v>45</v>
      </c>
      <c r="C502" s="4">
        <v>1120</v>
      </c>
      <c r="D502" s="4">
        <v>5</v>
      </c>
      <c r="E502" s="12" t="s">
        <v>31</v>
      </c>
      <c r="F502" s="4">
        <v>2024</v>
      </c>
      <c r="G502" s="4" t="s">
        <v>32</v>
      </c>
      <c r="H502" s="4" t="s">
        <v>33</v>
      </c>
      <c r="I502" s="4" t="s">
        <v>134</v>
      </c>
      <c r="J502" s="4" t="s">
        <v>35</v>
      </c>
      <c r="K502" s="4" t="s">
        <v>244</v>
      </c>
      <c r="L502" s="4" t="s">
        <v>91</v>
      </c>
      <c r="M502" s="4" t="s">
        <v>37</v>
      </c>
      <c r="N502" s="4" t="s">
        <v>38</v>
      </c>
      <c r="O502" s="4">
        <v>56</v>
      </c>
      <c r="P502" s="4">
        <v>202</v>
      </c>
    </row>
    <row r="503" spans="1:16" hidden="1" x14ac:dyDescent="0.35">
      <c r="A503" s="4" t="s">
        <v>45</v>
      </c>
      <c r="C503" s="4">
        <v>1120</v>
      </c>
      <c r="D503" s="4">
        <v>5</v>
      </c>
      <c r="E503" s="12" t="s">
        <v>31</v>
      </c>
      <c r="F503" s="4">
        <v>2024</v>
      </c>
      <c r="G503" s="4" t="s">
        <v>32</v>
      </c>
      <c r="H503" s="4" t="s">
        <v>33</v>
      </c>
      <c r="I503" s="4" t="s">
        <v>134</v>
      </c>
      <c r="J503" s="4" t="s">
        <v>35</v>
      </c>
      <c r="K503" s="4" t="s">
        <v>244</v>
      </c>
      <c r="L503" s="4" t="s">
        <v>91</v>
      </c>
      <c r="M503" s="4" t="s">
        <v>37</v>
      </c>
      <c r="N503" s="4" t="s">
        <v>192</v>
      </c>
      <c r="O503" s="4">
        <v>29</v>
      </c>
      <c r="P503" s="4">
        <v>202</v>
      </c>
    </row>
    <row r="504" spans="1:16" hidden="1" x14ac:dyDescent="0.35">
      <c r="A504" s="4" t="s">
        <v>45</v>
      </c>
      <c r="C504" s="4">
        <v>1120</v>
      </c>
      <c r="D504" s="4">
        <v>5</v>
      </c>
      <c r="E504" s="12" t="s">
        <v>31</v>
      </c>
      <c r="F504" s="4">
        <v>2024</v>
      </c>
      <c r="G504" s="4" t="s">
        <v>32</v>
      </c>
      <c r="H504" s="4" t="s">
        <v>33</v>
      </c>
      <c r="I504" s="4" t="s">
        <v>134</v>
      </c>
      <c r="J504" s="4" t="s">
        <v>35</v>
      </c>
      <c r="K504" s="4" t="s">
        <v>244</v>
      </c>
      <c r="L504" s="4" t="s">
        <v>39</v>
      </c>
      <c r="M504" s="4" t="s">
        <v>37</v>
      </c>
      <c r="N504" s="4" t="s">
        <v>38</v>
      </c>
      <c r="O504" s="4">
        <v>1</v>
      </c>
      <c r="P504" s="4">
        <v>202</v>
      </c>
    </row>
    <row r="505" spans="1:16" hidden="1" x14ac:dyDescent="0.35">
      <c r="A505" s="4" t="s">
        <v>45</v>
      </c>
      <c r="C505" s="4">
        <v>1120</v>
      </c>
      <c r="D505" s="4">
        <v>5</v>
      </c>
      <c r="E505" s="12" t="s">
        <v>31</v>
      </c>
      <c r="F505" s="4">
        <v>2024</v>
      </c>
      <c r="G505" s="4" t="s">
        <v>32</v>
      </c>
      <c r="H505" s="4" t="s">
        <v>33</v>
      </c>
      <c r="I505" s="4" t="s">
        <v>134</v>
      </c>
      <c r="J505" s="4" t="s">
        <v>35</v>
      </c>
      <c r="K505" s="4" t="s">
        <v>244</v>
      </c>
      <c r="L505" s="4" t="s">
        <v>39</v>
      </c>
      <c r="M505" s="4" t="s">
        <v>37</v>
      </c>
      <c r="N505" s="4" t="s">
        <v>192</v>
      </c>
      <c r="O505" s="4">
        <v>0</v>
      </c>
      <c r="P505" s="4">
        <v>202</v>
      </c>
    </row>
    <row r="506" spans="1:16" hidden="1" x14ac:dyDescent="0.35">
      <c r="A506" s="4" t="s">
        <v>45</v>
      </c>
      <c r="C506" s="4">
        <v>1120</v>
      </c>
      <c r="D506" s="4">
        <v>5</v>
      </c>
      <c r="E506" s="12" t="s">
        <v>31</v>
      </c>
      <c r="F506" s="4">
        <v>2024</v>
      </c>
      <c r="G506" s="4" t="s">
        <v>32</v>
      </c>
      <c r="H506" s="4" t="s">
        <v>33</v>
      </c>
      <c r="I506" s="4" t="s">
        <v>129</v>
      </c>
      <c r="J506" s="4" t="s">
        <v>35</v>
      </c>
      <c r="K506" s="4" t="s">
        <v>244</v>
      </c>
      <c r="L506" s="4" t="s">
        <v>91</v>
      </c>
      <c r="M506" s="4" t="s">
        <v>37</v>
      </c>
      <c r="N506" s="4" t="s">
        <v>38</v>
      </c>
      <c r="O506" s="4">
        <v>54</v>
      </c>
      <c r="P506" s="4">
        <v>202</v>
      </c>
    </row>
    <row r="507" spans="1:16" hidden="1" x14ac:dyDescent="0.35">
      <c r="A507" s="4" t="s">
        <v>45</v>
      </c>
      <c r="C507" s="4">
        <v>1120</v>
      </c>
      <c r="D507" s="4">
        <v>5</v>
      </c>
      <c r="E507" s="12" t="s">
        <v>31</v>
      </c>
      <c r="F507" s="4">
        <v>2024</v>
      </c>
      <c r="G507" s="4" t="s">
        <v>32</v>
      </c>
      <c r="H507" s="4" t="s">
        <v>33</v>
      </c>
      <c r="I507" s="4" t="s">
        <v>129</v>
      </c>
      <c r="J507" s="4" t="s">
        <v>35</v>
      </c>
      <c r="K507" s="4" t="s">
        <v>244</v>
      </c>
      <c r="L507" s="4" t="s">
        <v>91</v>
      </c>
      <c r="M507" s="4" t="s">
        <v>37</v>
      </c>
      <c r="N507" s="4" t="s">
        <v>192</v>
      </c>
      <c r="O507" s="4">
        <v>36</v>
      </c>
      <c r="P507" s="4">
        <v>202</v>
      </c>
    </row>
    <row r="508" spans="1:16" hidden="1" x14ac:dyDescent="0.35">
      <c r="A508" s="4" t="s">
        <v>45</v>
      </c>
      <c r="C508" s="4">
        <v>1120</v>
      </c>
      <c r="D508" s="4">
        <v>5</v>
      </c>
      <c r="E508" s="12" t="s">
        <v>31</v>
      </c>
      <c r="F508" s="4">
        <v>2024</v>
      </c>
      <c r="G508" s="4" t="s">
        <v>32</v>
      </c>
      <c r="H508" s="4" t="s">
        <v>33</v>
      </c>
      <c r="I508" s="4" t="s">
        <v>129</v>
      </c>
      <c r="J508" s="4" t="s">
        <v>35</v>
      </c>
      <c r="K508" s="4" t="s">
        <v>244</v>
      </c>
      <c r="L508" s="4" t="s">
        <v>39</v>
      </c>
      <c r="M508" s="4" t="s">
        <v>37</v>
      </c>
      <c r="N508" s="4" t="s">
        <v>38</v>
      </c>
      <c r="O508" s="4">
        <v>2</v>
      </c>
      <c r="P508" s="4">
        <v>202</v>
      </c>
    </row>
    <row r="509" spans="1:16" hidden="1" x14ac:dyDescent="0.35">
      <c r="A509" s="4" t="s">
        <v>45</v>
      </c>
      <c r="C509" s="4">
        <v>1120</v>
      </c>
      <c r="D509" s="4">
        <v>5</v>
      </c>
      <c r="E509" s="12" t="s">
        <v>31</v>
      </c>
      <c r="F509" s="4">
        <v>2024</v>
      </c>
      <c r="G509" s="4" t="s">
        <v>32</v>
      </c>
      <c r="H509" s="4" t="s">
        <v>33</v>
      </c>
      <c r="I509" s="4" t="s">
        <v>129</v>
      </c>
      <c r="J509" s="4" t="s">
        <v>35</v>
      </c>
      <c r="K509" s="4" t="s">
        <v>244</v>
      </c>
      <c r="L509" s="4" t="s">
        <v>39</v>
      </c>
      <c r="M509" s="4" t="s">
        <v>37</v>
      </c>
      <c r="N509" s="4" t="s">
        <v>192</v>
      </c>
      <c r="O509" s="4">
        <v>0</v>
      </c>
      <c r="P509" s="4">
        <v>202</v>
      </c>
    </row>
    <row r="510" spans="1:16" hidden="1" x14ac:dyDescent="0.35">
      <c r="A510" s="4" t="s">
        <v>45</v>
      </c>
      <c r="C510" s="4">
        <v>1120</v>
      </c>
      <c r="D510" s="4">
        <v>5</v>
      </c>
      <c r="E510" s="12" t="s">
        <v>31</v>
      </c>
      <c r="F510" s="4">
        <v>2024</v>
      </c>
      <c r="G510" s="4" t="s">
        <v>32</v>
      </c>
      <c r="H510" s="4" t="s">
        <v>33</v>
      </c>
      <c r="I510" s="4" t="s">
        <v>150</v>
      </c>
      <c r="J510" s="4" t="s">
        <v>35</v>
      </c>
      <c r="K510" s="4" t="s">
        <v>244</v>
      </c>
      <c r="L510" s="4" t="s">
        <v>91</v>
      </c>
      <c r="M510" s="4" t="s">
        <v>37</v>
      </c>
      <c r="N510" s="4" t="s">
        <v>38</v>
      </c>
      <c r="O510" s="4">
        <v>53</v>
      </c>
      <c r="P510" s="4">
        <v>202</v>
      </c>
    </row>
    <row r="511" spans="1:16" hidden="1" x14ac:dyDescent="0.35">
      <c r="A511" s="4" t="s">
        <v>45</v>
      </c>
      <c r="C511" s="4">
        <v>1120</v>
      </c>
      <c r="D511" s="4">
        <v>5</v>
      </c>
      <c r="E511" s="12" t="s">
        <v>31</v>
      </c>
      <c r="F511" s="4">
        <v>2024</v>
      </c>
      <c r="G511" s="4" t="s">
        <v>32</v>
      </c>
      <c r="H511" s="4" t="s">
        <v>33</v>
      </c>
      <c r="I511" s="4" t="s">
        <v>150</v>
      </c>
      <c r="J511" s="4" t="s">
        <v>35</v>
      </c>
      <c r="K511" s="4" t="s">
        <v>244</v>
      </c>
      <c r="L511" s="4" t="s">
        <v>91</v>
      </c>
      <c r="M511" s="4" t="s">
        <v>37</v>
      </c>
      <c r="N511" s="4" t="s">
        <v>192</v>
      </c>
      <c r="O511" s="4">
        <v>45</v>
      </c>
      <c r="P511" s="4">
        <v>202</v>
      </c>
    </row>
    <row r="512" spans="1:16" hidden="1" x14ac:dyDescent="0.35">
      <c r="A512" s="4" t="s">
        <v>45</v>
      </c>
      <c r="C512" s="4">
        <v>1120</v>
      </c>
      <c r="D512" s="4">
        <v>5</v>
      </c>
      <c r="E512" s="12" t="s">
        <v>31</v>
      </c>
      <c r="F512" s="4">
        <v>2024</v>
      </c>
      <c r="G512" s="4" t="s">
        <v>32</v>
      </c>
      <c r="H512" s="4" t="s">
        <v>33</v>
      </c>
      <c r="I512" s="4" t="s">
        <v>150</v>
      </c>
      <c r="J512" s="4" t="s">
        <v>35</v>
      </c>
      <c r="K512" s="4" t="s">
        <v>244</v>
      </c>
      <c r="L512" s="4" t="s">
        <v>39</v>
      </c>
      <c r="M512" s="4" t="s">
        <v>37</v>
      </c>
      <c r="N512" s="4" t="s">
        <v>38</v>
      </c>
      <c r="O512" s="4">
        <v>14</v>
      </c>
      <c r="P512" s="4">
        <v>202</v>
      </c>
    </row>
    <row r="513" spans="1:16" hidden="1" x14ac:dyDescent="0.35">
      <c r="A513" s="4" t="s">
        <v>45</v>
      </c>
      <c r="C513" s="4">
        <v>1120</v>
      </c>
      <c r="D513" s="4">
        <v>5</v>
      </c>
      <c r="E513" s="12" t="s">
        <v>31</v>
      </c>
      <c r="F513" s="4">
        <v>2024</v>
      </c>
      <c r="G513" s="4" t="s">
        <v>32</v>
      </c>
      <c r="H513" s="4" t="s">
        <v>33</v>
      </c>
      <c r="I513" s="4" t="s">
        <v>150</v>
      </c>
      <c r="J513" s="4" t="s">
        <v>35</v>
      </c>
      <c r="K513" s="4" t="s">
        <v>244</v>
      </c>
      <c r="L513" s="4" t="s">
        <v>39</v>
      </c>
      <c r="M513" s="4" t="s">
        <v>37</v>
      </c>
      <c r="N513" s="4" t="s">
        <v>192</v>
      </c>
      <c r="O513" s="4">
        <v>7</v>
      </c>
      <c r="P513" s="4">
        <v>202</v>
      </c>
    </row>
    <row r="514" spans="1:16" hidden="1" x14ac:dyDescent="0.35">
      <c r="A514" s="4" t="s">
        <v>45</v>
      </c>
      <c r="C514" s="4">
        <v>1120</v>
      </c>
      <c r="D514" s="4">
        <v>5</v>
      </c>
      <c r="E514" s="12" t="s">
        <v>31</v>
      </c>
      <c r="F514" s="4">
        <v>2024</v>
      </c>
      <c r="G514" s="4" t="s">
        <v>32</v>
      </c>
      <c r="H514" s="4" t="s">
        <v>33</v>
      </c>
      <c r="I514" s="4" t="s">
        <v>151</v>
      </c>
      <c r="J514" s="4" t="s">
        <v>35</v>
      </c>
      <c r="K514" s="4" t="s">
        <v>244</v>
      </c>
      <c r="L514" s="4" t="s">
        <v>91</v>
      </c>
      <c r="M514" s="4" t="s">
        <v>37</v>
      </c>
      <c r="N514" s="4" t="s">
        <v>38</v>
      </c>
      <c r="O514" s="4">
        <v>50</v>
      </c>
      <c r="P514" s="4">
        <v>202</v>
      </c>
    </row>
    <row r="515" spans="1:16" hidden="1" x14ac:dyDescent="0.35">
      <c r="A515" s="4" t="s">
        <v>45</v>
      </c>
      <c r="C515" s="4">
        <v>1120</v>
      </c>
      <c r="D515" s="4">
        <v>5</v>
      </c>
      <c r="E515" s="12" t="s">
        <v>31</v>
      </c>
      <c r="F515" s="4">
        <v>2024</v>
      </c>
      <c r="G515" s="4" t="s">
        <v>32</v>
      </c>
      <c r="H515" s="4" t="s">
        <v>33</v>
      </c>
      <c r="I515" s="4" t="s">
        <v>151</v>
      </c>
      <c r="J515" s="4" t="s">
        <v>35</v>
      </c>
      <c r="K515" s="4" t="s">
        <v>244</v>
      </c>
      <c r="L515" s="4" t="s">
        <v>91</v>
      </c>
      <c r="M515" s="4" t="s">
        <v>37</v>
      </c>
      <c r="N515" s="4" t="s">
        <v>192</v>
      </c>
      <c r="O515" s="4">
        <v>43</v>
      </c>
      <c r="P515" s="4">
        <v>202</v>
      </c>
    </row>
    <row r="516" spans="1:16" hidden="1" x14ac:dyDescent="0.35">
      <c r="A516" s="4" t="s">
        <v>45</v>
      </c>
      <c r="C516" s="4">
        <v>1120</v>
      </c>
      <c r="D516" s="4">
        <v>5</v>
      </c>
      <c r="E516" s="12" t="s">
        <v>31</v>
      </c>
      <c r="F516" s="4">
        <v>2024</v>
      </c>
      <c r="G516" s="4" t="s">
        <v>32</v>
      </c>
      <c r="H516" s="4" t="s">
        <v>33</v>
      </c>
      <c r="I516" s="4" t="s">
        <v>151</v>
      </c>
      <c r="J516" s="4" t="s">
        <v>35</v>
      </c>
      <c r="K516" s="4" t="s">
        <v>244</v>
      </c>
      <c r="L516" s="4" t="s">
        <v>39</v>
      </c>
      <c r="M516" s="4" t="s">
        <v>37</v>
      </c>
      <c r="N516" s="4" t="s">
        <v>38</v>
      </c>
      <c r="O516" s="4">
        <v>25</v>
      </c>
      <c r="P516" s="4">
        <v>202</v>
      </c>
    </row>
    <row r="517" spans="1:16" hidden="1" x14ac:dyDescent="0.35">
      <c r="A517" s="4" t="s">
        <v>45</v>
      </c>
      <c r="C517" s="4">
        <v>1120</v>
      </c>
      <c r="D517" s="4">
        <v>5</v>
      </c>
      <c r="E517" s="12" t="s">
        <v>31</v>
      </c>
      <c r="F517" s="4">
        <v>2024</v>
      </c>
      <c r="G517" s="4" t="s">
        <v>32</v>
      </c>
      <c r="H517" s="4" t="s">
        <v>33</v>
      </c>
      <c r="I517" s="4" t="s">
        <v>151</v>
      </c>
      <c r="J517" s="4" t="s">
        <v>35</v>
      </c>
      <c r="K517" s="4" t="s">
        <v>244</v>
      </c>
      <c r="L517" s="4" t="s">
        <v>39</v>
      </c>
      <c r="M517" s="4" t="s">
        <v>37</v>
      </c>
      <c r="N517" s="4" t="s">
        <v>192</v>
      </c>
      <c r="O517" s="4">
        <v>21</v>
      </c>
      <c r="P517" s="4">
        <v>202</v>
      </c>
    </row>
    <row r="518" spans="1:16" hidden="1" x14ac:dyDescent="0.35">
      <c r="A518" s="4" t="s">
        <v>45</v>
      </c>
      <c r="C518" s="4">
        <v>1120</v>
      </c>
      <c r="D518" s="4">
        <v>5</v>
      </c>
      <c r="E518" s="12" t="s">
        <v>31</v>
      </c>
      <c r="F518" s="4">
        <v>2024</v>
      </c>
      <c r="G518" s="4" t="s">
        <v>32</v>
      </c>
      <c r="H518" s="4" t="s">
        <v>33</v>
      </c>
      <c r="I518" s="4" t="s">
        <v>152</v>
      </c>
      <c r="J518" s="4" t="s">
        <v>35</v>
      </c>
      <c r="K518" s="4" t="s">
        <v>244</v>
      </c>
      <c r="L518" s="4" t="s">
        <v>91</v>
      </c>
      <c r="M518" s="4" t="s">
        <v>37</v>
      </c>
      <c r="N518" s="4" t="s">
        <v>38</v>
      </c>
      <c r="O518" s="4">
        <v>47</v>
      </c>
      <c r="P518" s="4">
        <v>202</v>
      </c>
    </row>
    <row r="519" spans="1:16" hidden="1" x14ac:dyDescent="0.35">
      <c r="A519" s="4" t="s">
        <v>45</v>
      </c>
      <c r="C519" s="4">
        <v>1120</v>
      </c>
      <c r="D519" s="4">
        <v>5</v>
      </c>
      <c r="E519" s="12" t="s">
        <v>31</v>
      </c>
      <c r="F519" s="4">
        <v>2024</v>
      </c>
      <c r="G519" s="4" t="s">
        <v>32</v>
      </c>
      <c r="H519" s="4" t="s">
        <v>33</v>
      </c>
      <c r="I519" s="4" t="s">
        <v>152</v>
      </c>
      <c r="J519" s="4" t="s">
        <v>35</v>
      </c>
      <c r="K519" s="4" t="s">
        <v>244</v>
      </c>
      <c r="L519" s="4" t="s">
        <v>91</v>
      </c>
      <c r="M519" s="4" t="s">
        <v>37</v>
      </c>
      <c r="N519" s="4" t="s">
        <v>192</v>
      </c>
      <c r="O519" s="4">
        <v>37</v>
      </c>
      <c r="P519" s="4">
        <v>202</v>
      </c>
    </row>
    <row r="520" spans="1:16" hidden="1" x14ac:dyDescent="0.35">
      <c r="A520" s="4" t="s">
        <v>45</v>
      </c>
      <c r="C520" s="4">
        <v>1120</v>
      </c>
      <c r="D520" s="4">
        <v>5</v>
      </c>
      <c r="E520" s="12" t="s">
        <v>31</v>
      </c>
      <c r="F520" s="4">
        <v>2024</v>
      </c>
      <c r="G520" s="4" t="s">
        <v>32</v>
      </c>
      <c r="H520" s="4" t="s">
        <v>33</v>
      </c>
      <c r="I520" s="4" t="s">
        <v>152</v>
      </c>
      <c r="J520" s="4" t="s">
        <v>35</v>
      </c>
      <c r="K520" s="4" t="s">
        <v>244</v>
      </c>
      <c r="L520" s="4" t="s">
        <v>39</v>
      </c>
      <c r="M520" s="4" t="s">
        <v>37</v>
      </c>
      <c r="N520" s="4" t="s">
        <v>38</v>
      </c>
      <c r="O520" s="4">
        <v>3</v>
      </c>
      <c r="P520" s="4">
        <v>202</v>
      </c>
    </row>
    <row r="521" spans="1:16" hidden="1" x14ac:dyDescent="0.35">
      <c r="A521" s="4" t="s">
        <v>45</v>
      </c>
      <c r="C521" s="4">
        <v>1120</v>
      </c>
      <c r="D521" s="4">
        <v>5</v>
      </c>
      <c r="E521" s="12" t="s">
        <v>31</v>
      </c>
      <c r="F521" s="4">
        <v>2024</v>
      </c>
      <c r="G521" s="4" t="s">
        <v>32</v>
      </c>
      <c r="H521" s="4" t="s">
        <v>33</v>
      </c>
      <c r="I521" s="4" t="s">
        <v>152</v>
      </c>
      <c r="J521" s="4" t="s">
        <v>35</v>
      </c>
      <c r="K521" s="4" t="s">
        <v>244</v>
      </c>
      <c r="L521" s="4" t="s">
        <v>39</v>
      </c>
      <c r="M521" s="4" t="s">
        <v>37</v>
      </c>
      <c r="N521" s="4" t="s">
        <v>192</v>
      </c>
      <c r="O521" s="4">
        <v>1</v>
      </c>
      <c r="P521" s="4">
        <v>202</v>
      </c>
    </row>
    <row r="522" spans="1:16" hidden="1" x14ac:dyDescent="0.35">
      <c r="A522" s="4" t="s">
        <v>45</v>
      </c>
      <c r="C522" s="4">
        <v>1120</v>
      </c>
      <c r="D522" s="4">
        <v>5</v>
      </c>
      <c r="E522" s="12" t="s">
        <v>31</v>
      </c>
      <c r="F522" s="4">
        <v>2024</v>
      </c>
      <c r="G522" s="4" t="s">
        <v>32</v>
      </c>
      <c r="H522" s="4" t="s">
        <v>33</v>
      </c>
      <c r="I522" s="4" t="s">
        <v>133</v>
      </c>
      <c r="J522" s="4" t="s">
        <v>35</v>
      </c>
      <c r="K522" s="4" t="s">
        <v>244</v>
      </c>
      <c r="L522" s="4" t="s">
        <v>91</v>
      </c>
      <c r="M522" s="4" t="s">
        <v>37</v>
      </c>
      <c r="N522" s="4" t="s">
        <v>38</v>
      </c>
      <c r="O522" s="4">
        <v>45</v>
      </c>
      <c r="P522" s="4">
        <v>202</v>
      </c>
    </row>
    <row r="523" spans="1:16" hidden="1" x14ac:dyDescent="0.35">
      <c r="A523" s="4" t="s">
        <v>45</v>
      </c>
      <c r="C523" s="4">
        <v>1120</v>
      </c>
      <c r="D523" s="4">
        <v>5</v>
      </c>
      <c r="E523" s="12" t="s">
        <v>31</v>
      </c>
      <c r="F523" s="4">
        <v>2024</v>
      </c>
      <c r="G523" s="4" t="s">
        <v>32</v>
      </c>
      <c r="H523" s="4" t="s">
        <v>33</v>
      </c>
      <c r="I523" s="4" t="s">
        <v>133</v>
      </c>
      <c r="J523" s="4" t="s">
        <v>35</v>
      </c>
      <c r="K523" s="4" t="s">
        <v>244</v>
      </c>
      <c r="L523" s="4" t="s">
        <v>91</v>
      </c>
      <c r="M523" s="4" t="s">
        <v>37</v>
      </c>
      <c r="N523" s="4" t="s">
        <v>192</v>
      </c>
      <c r="O523" s="4">
        <v>31</v>
      </c>
      <c r="P523" s="4">
        <v>202</v>
      </c>
    </row>
    <row r="524" spans="1:16" hidden="1" x14ac:dyDescent="0.35">
      <c r="A524" s="4" t="s">
        <v>45</v>
      </c>
      <c r="C524" s="4">
        <v>1120</v>
      </c>
      <c r="D524" s="4">
        <v>5</v>
      </c>
      <c r="E524" s="12" t="s">
        <v>31</v>
      </c>
      <c r="F524" s="4">
        <v>2024</v>
      </c>
      <c r="G524" s="4" t="s">
        <v>32</v>
      </c>
      <c r="H524" s="4" t="s">
        <v>33</v>
      </c>
      <c r="I524" s="4" t="s">
        <v>133</v>
      </c>
      <c r="J524" s="4" t="s">
        <v>35</v>
      </c>
      <c r="K524" s="4" t="s">
        <v>244</v>
      </c>
      <c r="L524" s="4" t="s">
        <v>39</v>
      </c>
      <c r="M524" s="4" t="s">
        <v>37</v>
      </c>
      <c r="N524" s="4" t="s">
        <v>38</v>
      </c>
      <c r="O524" s="4">
        <v>1</v>
      </c>
      <c r="P524" s="4">
        <v>202</v>
      </c>
    </row>
    <row r="525" spans="1:16" hidden="1" x14ac:dyDescent="0.35">
      <c r="A525" s="4" t="s">
        <v>45</v>
      </c>
      <c r="C525" s="4">
        <v>1120</v>
      </c>
      <c r="D525" s="4">
        <v>5</v>
      </c>
      <c r="E525" s="12" t="s">
        <v>31</v>
      </c>
      <c r="F525" s="4">
        <v>2024</v>
      </c>
      <c r="G525" s="4" t="s">
        <v>32</v>
      </c>
      <c r="H525" s="4" t="s">
        <v>33</v>
      </c>
      <c r="I525" s="4" t="s">
        <v>133</v>
      </c>
      <c r="J525" s="4" t="s">
        <v>35</v>
      </c>
      <c r="K525" s="4" t="s">
        <v>244</v>
      </c>
      <c r="L525" s="4" t="s">
        <v>39</v>
      </c>
      <c r="M525" s="4" t="s">
        <v>37</v>
      </c>
      <c r="N525" s="4" t="s">
        <v>192</v>
      </c>
      <c r="O525" s="4">
        <v>2</v>
      </c>
      <c r="P525" s="4">
        <v>202</v>
      </c>
    </row>
    <row r="526" spans="1:16" hidden="1" x14ac:dyDescent="0.35">
      <c r="A526" s="4" t="s">
        <v>45</v>
      </c>
      <c r="C526" s="4">
        <v>1120</v>
      </c>
      <c r="D526" s="4">
        <v>5</v>
      </c>
      <c r="E526" s="12" t="s">
        <v>31</v>
      </c>
      <c r="F526" s="4">
        <v>2024</v>
      </c>
      <c r="G526" s="4" t="s">
        <v>32</v>
      </c>
      <c r="H526" s="4" t="s">
        <v>33</v>
      </c>
      <c r="I526" s="4" t="s">
        <v>44</v>
      </c>
      <c r="J526" s="4" t="s">
        <v>35</v>
      </c>
      <c r="K526" s="4" t="s">
        <v>244</v>
      </c>
      <c r="L526" s="4" t="s">
        <v>91</v>
      </c>
      <c r="M526" s="4" t="s">
        <v>37</v>
      </c>
      <c r="N526" s="4" t="s">
        <v>38</v>
      </c>
      <c r="O526" s="4">
        <v>41</v>
      </c>
      <c r="P526" s="4">
        <v>202</v>
      </c>
    </row>
    <row r="527" spans="1:16" hidden="1" x14ac:dyDescent="0.35">
      <c r="A527" s="4" t="s">
        <v>45</v>
      </c>
      <c r="C527" s="4">
        <v>1120</v>
      </c>
      <c r="D527" s="4">
        <v>5</v>
      </c>
      <c r="E527" s="12" t="s">
        <v>31</v>
      </c>
      <c r="F527" s="4">
        <v>2024</v>
      </c>
      <c r="G527" s="4" t="s">
        <v>32</v>
      </c>
      <c r="H527" s="4" t="s">
        <v>33</v>
      </c>
      <c r="I527" s="4" t="s">
        <v>44</v>
      </c>
      <c r="J527" s="4" t="s">
        <v>35</v>
      </c>
      <c r="K527" s="4" t="s">
        <v>244</v>
      </c>
      <c r="L527" s="4" t="s">
        <v>91</v>
      </c>
      <c r="M527" s="4" t="s">
        <v>37</v>
      </c>
      <c r="N527" s="4" t="s">
        <v>192</v>
      </c>
      <c r="O527" s="4">
        <v>23</v>
      </c>
      <c r="P527" s="4">
        <v>202</v>
      </c>
    </row>
    <row r="528" spans="1:16" hidden="1" x14ac:dyDescent="0.35">
      <c r="A528" s="4" t="s">
        <v>45</v>
      </c>
      <c r="C528" s="4">
        <v>1120</v>
      </c>
      <c r="D528" s="4">
        <v>5</v>
      </c>
      <c r="E528" s="12" t="s">
        <v>31</v>
      </c>
      <c r="F528" s="4">
        <v>2024</v>
      </c>
      <c r="G528" s="4" t="s">
        <v>32</v>
      </c>
      <c r="H528" s="4" t="s">
        <v>33</v>
      </c>
      <c r="I528" s="4" t="s">
        <v>44</v>
      </c>
      <c r="J528" s="4" t="s">
        <v>35</v>
      </c>
      <c r="K528" s="4" t="s">
        <v>244</v>
      </c>
      <c r="L528" s="4" t="s">
        <v>39</v>
      </c>
      <c r="M528" s="4" t="s">
        <v>37</v>
      </c>
      <c r="N528" s="4" t="s">
        <v>38</v>
      </c>
      <c r="O528" s="4">
        <v>0</v>
      </c>
      <c r="P528" s="4">
        <v>202</v>
      </c>
    </row>
    <row r="529" spans="1:16" hidden="1" x14ac:dyDescent="0.35">
      <c r="A529" s="4" t="s">
        <v>45</v>
      </c>
      <c r="C529" s="4">
        <v>1120</v>
      </c>
      <c r="D529" s="4">
        <v>5</v>
      </c>
      <c r="E529" s="12" t="s">
        <v>31</v>
      </c>
      <c r="F529" s="4">
        <v>2024</v>
      </c>
      <c r="G529" s="4" t="s">
        <v>32</v>
      </c>
      <c r="H529" s="4" t="s">
        <v>33</v>
      </c>
      <c r="I529" s="4" t="s">
        <v>44</v>
      </c>
      <c r="J529" s="4" t="s">
        <v>35</v>
      </c>
      <c r="K529" s="4" t="s">
        <v>244</v>
      </c>
      <c r="L529" s="4" t="s">
        <v>39</v>
      </c>
      <c r="M529" s="4" t="s">
        <v>37</v>
      </c>
      <c r="N529" s="4" t="s">
        <v>192</v>
      </c>
      <c r="O529" s="4">
        <v>0</v>
      </c>
      <c r="P529" s="4">
        <v>202</v>
      </c>
    </row>
    <row r="530" spans="1:16" hidden="1" x14ac:dyDescent="0.35">
      <c r="A530" s="4" t="s">
        <v>45</v>
      </c>
      <c r="C530" s="4">
        <v>1120</v>
      </c>
      <c r="D530" s="4">
        <v>5</v>
      </c>
      <c r="E530" s="12" t="s">
        <v>31</v>
      </c>
      <c r="F530" s="4">
        <v>2024</v>
      </c>
      <c r="G530" s="4" t="s">
        <v>32</v>
      </c>
      <c r="H530" s="4" t="s">
        <v>33</v>
      </c>
      <c r="I530" s="4" t="s">
        <v>140</v>
      </c>
      <c r="J530" s="4" t="s">
        <v>35</v>
      </c>
      <c r="K530" s="4" t="s">
        <v>244</v>
      </c>
      <c r="L530" s="4" t="s">
        <v>91</v>
      </c>
      <c r="M530" s="4" t="s">
        <v>37</v>
      </c>
      <c r="N530" s="4" t="s">
        <v>38</v>
      </c>
      <c r="O530" s="4">
        <v>41</v>
      </c>
      <c r="P530" s="4">
        <v>202</v>
      </c>
    </row>
    <row r="531" spans="1:16" hidden="1" x14ac:dyDescent="0.35">
      <c r="A531" s="4" t="s">
        <v>45</v>
      </c>
      <c r="C531" s="4">
        <v>1120</v>
      </c>
      <c r="D531" s="4">
        <v>5</v>
      </c>
      <c r="E531" s="12" t="s">
        <v>31</v>
      </c>
      <c r="F531" s="4">
        <v>2024</v>
      </c>
      <c r="G531" s="4" t="s">
        <v>32</v>
      </c>
      <c r="H531" s="4" t="s">
        <v>33</v>
      </c>
      <c r="I531" s="4" t="s">
        <v>140</v>
      </c>
      <c r="J531" s="4" t="s">
        <v>35</v>
      </c>
      <c r="K531" s="4" t="s">
        <v>244</v>
      </c>
      <c r="L531" s="4" t="s">
        <v>91</v>
      </c>
      <c r="M531" s="4" t="s">
        <v>37</v>
      </c>
      <c r="N531" s="4" t="s">
        <v>192</v>
      </c>
      <c r="O531" s="4">
        <v>19</v>
      </c>
      <c r="P531" s="4">
        <v>202</v>
      </c>
    </row>
    <row r="532" spans="1:16" hidden="1" x14ac:dyDescent="0.35">
      <c r="A532" s="4" t="s">
        <v>45</v>
      </c>
      <c r="C532" s="4">
        <v>1120</v>
      </c>
      <c r="D532" s="4">
        <v>5</v>
      </c>
      <c r="E532" s="12" t="s">
        <v>31</v>
      </c>
      <c r="F532" s="4">
        <v>2024</v>
      </c>
      <c r="G532" s="4" t="s">
        <v>32</v>
      </c>
      <c r="H532" s="4" t="s">
        <v>33</v>
      </c>
      <c r="I532" s="4" t="s">
        <v>140</v>
      </c>
      <c r="J532" s="4" t="s">
        <v>35</v>
      </c>
      <c r="K532" s="4" t="s">
        <v>244</v>
      </c>
      <c r="L532" s="4" t="s">
        <v>39</v>
      </c>
      <c r="M532" s="4" t="s">
        <v>37</v>
      </c>
      <c r="N532" s="4" t="s">
        <v>38</v>
      </c>
      <c r="O532" s="4">
        <v>5</v>
      </c>
      <c r="P532" s="4">
        <v>202</v>
      </c>
    </row>
    <row r="533" spans="1:16" hidden="1" x14ac:dyDescent="0.35">
      <c r="A533" s="4" t="s">
        <v>45</v>
      </c>
      <c r="C533" s="4">
        <v>1120</v>
      </c>
      <c r="D533" s="4">
        <v>5</v>
      </c>
      <c r="E533" s="12" t="s">
        <v>31</v>
      </c>
      <c r="F533" s="4">
        <v>2024</v>
      </c>
      <c r="G533" s="4" t="s">
        <v>32</v>
      </c>
      <c r="H533" s="4" t="s">
        <v>33</v>
      </c>
      <c r="I533" s="4" t="s">
        <v>140</v>
      </c>
      <c r="J533" s="4" t="s">
        <v>35</v>
      </c>
      <c r="K533" s="4" t="s">
        <v>244</v>
      </c>
      <c r="L533" s="4" t="s">
        <v>39</v>
      </c>
      <c r="M533" s="4" t="s">
        <v>37</v>
      </c>
      <c r="N533" s="4" t="s">
        <v>192</v>
      </c>
      <c r="O533" s="4">
        <v>0</v>
      </c>
      <c r="P533" s="4">
        <v>202</v>
      </c>
    </row>
    <row r="534" spans="1:16" hidden="1" x14ac:dyDescent="0.35">
      <c r="A534" s="4" t="s">
        <v>45</v>
      </c>
      <c r="C534" s="4">
        <v>1120</v>
      </c>
      <c r="D534" s="4">
        <v>5</v>
      </c>
      <c r="E534" s="12" t="s">
        <v>31</v>
      </c>
      <c r="F534" s="4">
        <v>2024</v>
      </c>
      <c r="G534" s="4" t="s">
        <v>32</v>
      </c>
      <c r="H534" s="4" t="s">
        <v>33</v>
      </c>
      <c r="I534" s="4" t="s">
        <v>153</v>
      </c>
      <c r="J534" s="4" t="s">
        <v>35</v>
      </c>
      <c r="K534" s="4" t="s">
        <v>244</v>
      </c>
      <c r="L534" s="4" t="s">
        <v>91</v>
      </c>
      <c r="M534" s="4" t="s">
        <v>37</v>
      </c>
      <c r="N534" s="4" t="s">
        <v>38</v>
      </c>
      <c r="O534" s="4">
        <v>36</v>
      </c>
      <c r="P534" s="4">
        <v>202</v>
      </c>
    </row>
    <row r="535" spans="1:16" hidden="1" x14ac:dyDescent="0.35">
      <c r="A535" s="4" t="s">
        <v>45</v>
      </c>
      <c r="C535" s="4">
        <v>1120</v>
      </c>
      <c r="D535" s="4">
        <v>5</v>
      </c>
      <c r="E535" s="12" t="s">
        <v>31</v>
      </c>
      <c r="F535" s="4">
        <v>2024</v>
      </c>
      <c r="G535" s="4" t="s">
        <v>32</v>
      </c>
      <c r="H535" s="4" t="s">
        <v>33</v>
      </c>
      <c r="I535" s="4" t="s">
        <v>153</v>
      </c>
      <c r="J535" s="4" t="s">
        <v>35</v>
      </c>
      <c r="K535" s="4" t="s">
        <v>244</v>
      </c>
      <c r="L535" s="4" t="s">
        <v>91</v>
      </c>
      <c r="M535" s="4" t="s">
        <v>37</v>
      </c>
      <c r="N535" s="4" t="s">
        <v>192</v>
      </c>
      <c r="O535" s="4">
        <v>29</v>
      </c>
      <c r="P535" s="4">
        <v>202</v>
      </c>
    </row>
    <row r="536" spans="1:16" hidden="1" x14ac:dyDescent="0.35">
      <c r="A536" s="4" t="s">
        <v>45</v>
      </c>
      <c r="C536" s="4">
        <v>1120</v>
      </c>
      <c r="D536" s="4">
        <v>5</v>
      </c>
      <c r="E536" s="12" t="s">
        <v>31</v>
      </c>
      <c r="F536" s="4">
        <v>2024</v>
      </c>
      <c r="G536" s="4" t="s">
        <v>32</v>
      </c>
      <c r="H536" s="4" t="s">
        <v>33</v>
      </c>
      <c r="I536" s="4" t="s">
        <v>153</v>
      </c>
      <c r="J536" s="4" t="s">
        <v>35</v>
      </c>
      <c r="K536" s="4" t="s">
        <v>244</v>
      </c>
      <c r="L536" s="4" t="s">
        <v>39</v>
      </c>
      <c r="M536" s="4" t="s">
        <v>37</v>
      </c>
      <c r="N536" s="4" t="s">
        <v>38</v>
      </c>
      <c r="O536" s="4">
        <v>1</v>
      </c>
      <c r="P536" s="4">
        <v>202</v>
      </c>
    </row>
    <row r="537" spans="1:16" hidden="1" x14ac:dyDescent="0.35">
      <c r="A537" s="4" t="s">
        <v>45</v>
      </c>
      <c r="C537" s="4">
        <v>1120</v>
      </c>
      <c r="D537" s="4">
        <v>5</v>
      </c>
      <c r="E537" s="12" t="s">
        <v>31</v>
      </c>
      <c r="F537" s="4">
        <v>2024</v>
      </c>
      <c r="G537" s="4" t="s">
        <v>32</v>
      </c>
      <c r="H537" s="4" t="s">
        <v>33</v>
      </c>
      <c r="I537" s="4" t="s">
        <v>153</v>
      </c>
      <c r="J537" s="4" t="s">
        <v>35</v>
      </c>
      <c r="K537" s="4" t="s">
        <v>244</v>
      </c>
      <c r="L537" s="4" t="s">
        <v>39</v>
      </c>
      <c r="M537" s="4" t="s">
        <v>37</v>
      </c>
      <c r="N537" s="4" t="s">
        <v>192</v>
      </c>
      <c r="O537" s="4">
        <v>1</v>
      </c>
      <c r="P537" s="4">
        <v>202</v>
      </c>
    </row>
    <row r="538" spans="1:16" hidden="1" x14ac:dyDescent="0.35">
      <c r="A538" s="4" t="s">
        <v>45</v>
      </c>
      <c r="C538" s="4">
        <v>1120</v>
      </c>
      <c r="D538" s="4">
        <v>5</v>
      </c>
      <c r="E538" s="12" t="s">
        <v>31</v>
      </c>
      <c r="F538" s="4">
        <v>2024</v>
      </c>
      <c r="G538" s="4" t="s">
        <v>32</v>
      </c>
      <c r="H538" s="4" t="s">
        <v>33</v>
      </c>
      <c r="I538" s="4" t="s">
        <v>154</v>
      </c>
      <c r="J538" s="4" t="s">
        <v>35</v>
      </c>
      <c r="K538" s="4" t="s">
        <v>244</v>
      </c>
      <c r="L538" s="4" t="s">
        <v>91</v>
      </c>
      <c r="M538" s="4" t="s">
        <v>37</v>
      </c>
      <c r="N538" s="4" t="s">
        <v>38</v>
      </c>
      <c r="O538" s="4">
        <v>35</v>
      </c>
      <c r="P538" s="4">
        <v>202</v>
      </c>
    </row>
    <row r="539" spans="1:16" hidden="1" x14ac:dyDescent="0.35">
      <c r="A539" s="4" t="s">
        <v>45</v>
      </c>
      <c r="C539" s="4">
        <v>1120</v>
      </c>
      <c r="D539" s="4">
        <v>5</v>
      </c>
      <c r="E539" s="12" t="s">
        <v>31</v>
      </c>
      <c r="F539" s="4">
        <v>2024</v>
      </c>
      <c r="G539" s="4" t="s">
        <v>32</v>
      </c>
      <c r="H539" s="4" t="s">
        <v>33</v>
      </c>
      <c r="I539" s="4" t="s">
        <v>154</v>
      </c>
      <c r="J539" s="4" t="s">
        <v>35</v>
      </c>
      <c r="K539" s="4" t="s">
        <v>244</v>
      </c>
      <c r="L539" s="4" t="s">
        <v>91</v>
      </c>
      <c r="M539" s="4" t="s">
        <v>37</v>
      </c>
      <c r="N539" s="4" t="s">
        <v>192</v>
      </c>
      <c r="O539" s="4">
        <v>31</v>
      </c>
      <c r="P539" s="4">
        <v>202</v>
      </c>
    </row>
    <row r="540" spans="1:16" hidden="1" x14ac:dyDescent="0.35">
      <c r="A540" s="4" t="s">
        <v>45</v>
      </c>
      <c r="C540" s="4">
        <v>1120</v>
      </c>
      <c r="D540" s="4">
        <v>5</v>
      </c>
      <c r="E540" s="12" t="s">
        <v>31</v>
      </c>
      <c r="F540" s="4">
        <v>2024</v>
      </c>
      <c r="G540" s="4" t="s">
        <v>32</v>
      </c>
      <c r="H540" s="4" t="s">
        <v>33</v>
      </c>
      <c r="I540" s="4" t="s">
        <v>154</v>
      </c>
      <c r="J540" s="4" t="s">
        <v>35</v>
      </c>
      <c r="K540" s="4" t="s">
        <v>244</v>
      </c>
      <c r="L540" s="4" t="s">
        <v>39</v>
      </c>
      <c r="M540" s="4" t="s">
        <v>37</v>
      </c>
      <c r="N540" s="4" t="s">
        <v>38</v>
      </c>
      <c r="O540" s="4">
        <v>0</v>
      </c>
      <c r="P540" s="4">
        <v>202</v>
      </c>
    </row>
    <row r="541" spans="1:16" hidden="1" x14ac:dyDescent="0.35">
      <c r="A541" s="4" t="s">
        <v>45</v>
      </c>
      <c r="C541" s="4">
        <v>1120</v>
      </c>
      <c r="D541" s="4">
        <v>5</v>
      </c>
      <c r="E541" s="12" t="s">
        <v>31</v>
      </c>
      <c r="F541" s="4">
        <v>2024</v>
      </c>
      <c r="G541" s="4" t="s">
        <v>32</v>
      </c>
      <c r="H541" s="4" t="s">
        <v>33</v>
      </c>
      <c r="I541" s="4" t="s">
        <v>154</v>
      </c>
      <c r="J541" s="4" t="s">
        <v>35</v>
      </c>
      <c r="K541" s="4" t="s">
        <v>244</v>
      </c>
      <c r="L541" s="4" t="s">
        <v>39</v>
      </c>
      <c r="M541" s="4" t="s">
        <v>37</v>
      </c>
      <c r="N541" s="4" t="s">
        <v>192</v>
      </c>
      <c r="O541" s="4">
        <v>1</v>
      </c>
      <c r="P541" s="4">
        <v>202</v>
      </c>
    </row>
    <row r="542" spans="1:16" hidden="1" x14ac:dyDescent="0.35">
      <c r="A542" s="4" t="s">
        <v>45</v>
      </c>
      <c r="C542" s="4">
        <v>1120</v>
      </c>
      <c r="D542" s="4">
        <v>5</v>
      </c>
      <c r="E542" s="12" t="s">
        <v>31</v>
      </c>
      <c r="F542" s="4">
        <v>2024</v>
      </c>
      <c r="G542" s="4" t="s">
        <v>32</v>
      </c>
      <c r="H542" s="4" t="s">
        <v>33</v>
      </c>
      <c r="I542" s="4" t="s">
        <v>155</v>
      </c>
      <c r="J542" s="4" t="s">
        <v>35</v>
      </c>
      <c r="K542" s="4" t="s">
        <v>244</v>
      </c>
      <c r="L542" s="4" t="s">
        <v>91</v>
      </c>
      <c r="M542" s="4" t="s">
        <v>37</v>
      </c>
      <c r="N542" s="4" t="s">
        <v>38</v>
      </c>
      <c r="O542" s="4">
        <v>34</v>
      </c>
      <c r="P542" s="4">
        <v>202</v>
      </c>
    </row>
    <row r="543" spans="1:16" hidden="1" x14ac:dyDescent="0.35">
      <c r="A543" s="4" t="s">
        <v>45</v>
      </c>
      <c r="C543" s="4">
        <v>1120</v>
      </c>
      <c r="D543" s="4">
        <v>5</v>
      </c>
      <c r="E543" s="12" t="s">
        <v>31</v>
      </c>
      <c r="F543" s="4">
        <v>2024</v>
      </c>
      <c r="G543" s="4" t="s">
        <v>32</v>
      </c>
      <c r="H543" s="4" t="s">
        <v>33</v>
      </c>
      <c r="I543" s="4" t="s">
        <v>155</v>
      </c>
      <c r="J543" s="4" t="s">
        <v>35</v>
      </c>
      <c r="K543" s="4" t="s">
        <v>244</v>
      </c>
      <c r="L543" s="4" t="s">
        <v>91</v>
      </c>
      <c r="M543" s="4" t="s">
        <v>37</v>
      </c>
      <c r="N543" s="4" t="s">
        <v>192</v>
      </c>
      <c r="O543" s="4">
        <v>7</v>
      </c>
      <c r="P543" s="4">
        <v>202</v>
      </c>
    </row>
    <row r="544" spans="1:16" hidden="1" x14ac:dyDescent="0.35">
      <c r="A544" s="4" t="s">
        <v>45</v>
      </c>
      <c r="C544" s="4">
        <v>1120</v>
      </c>
      <c r="D544" s="4">
        <v>5</v>
      </c>
      <c r="E544" s="12" t="s">
        <v>31</v>
      </c>
      <c r="F544" s="4">
        <v>2024</v>
      </c>
      <c r="G544" s="4" t="s">
        <v>32</v>
      </c>
      <c r="H544" s="4" t="s">
        <v>33</v>
      </c>
      <c r="I544" s="4" t="s">
        <v>155</v>
      </c>
      <c r="J544" s="4" t="s">
        <v>35</v>
      </c>
      <c r="K544" s="4" t="s">
        <v>244</v>
      </c>
      <c r="L544" s="4" t="s">
        <v>39</v>
      </c>
      <c r="M544" s="4" t="s">
        <v>37</v>
      </c>
      <c r="N544" s="4" t="s">
        <v>38</v>
      </c>
      <c r="O544" s="4">
        <v>0</v>
      </c>
      <c r="P544" s="4">
        <v>202</v>
      </c>
    </row>
    <row r="545" spans="1:16" hidden="1" x14ac:dyDescent="0.35">
      <c r="A545" s="4" t="s">
        <v>45</v>
      </c>
      <c r="C545" s="4">
        <v>1120</v>
      </c>
      <c r="D545" s="4">
        <v>5</v>
      </c>
      <c r="E545" s="12" t="s">
        <v>31</v>
      </c>
      <c r="F545" s="4">
        <v>2024</v>
      </c>
      <c r="G545" s="4" t="s">
        <v>32</v>
      </c>
      <c r="H545" s="4" t="s">
        <v>33</v>
      </c>
      <c r="I545" s="4" t="s">
        <v>155</v>
      </c>
      <c r="J545" s="4" t="s">
        <v>35</v>
      </c>
      <c r="K545" s="4" t="s">
        <v>244</v>
      </c>
      <c r="L545" s="4" t="s">
        <v>39</v>
      </c>
      <c r="M545" s="4" t="s">
        <v>37</v>
      </c>
      <c r="N545" s="4" t="s">
        <v>192</v>
      </c>
      <c r="O545" s="4">
        <v>0</v>
      </c>
      <c r="P545" s="4">
        <v>202</v>
      </c>
    </row>
    <row r="546" spans="1:16" hidden="1" x14ac:dyDescent="0.35">
      <c r="A546" s="4" t="s">
        <v>45</v>
      </c>
      <c r="C546" s="4">
        <v>1120</v>
      </c>
      <c r="D546" s="4">
        <v>5</v>
      </c>
      <c r="E546" s="12" t="s">
        <v>31</v>
      </c>
      <c r="F546" s="4">
        <v>2024</v>
      </c>
      <c r="G546" s="4" t="s">
        <v>32</v>
      </c>
      <c r="H546" s="4" t="s">
        <v>33</v>
      </c>
      <c r="I546" s="4" t="s">
        <v>156</v>
      </c>
      <c r="J546" s="4" t="s">
        <v>35</v>
      </c>
      <c r="K546" s="4" t="s">
        <v>244</v>
      </c>
      <c r="L546" s="4" t="s">
        <v>91</v>
      </c>
      <c r="M546" s="4" t="s">
        <v>37</v>
      </c>
      <c r="N546" s="4" t="s">
        <v>38</v>
      </c>
      <c r="O546" s="4">
        <v>33</v>
      </c>
      <c r="P546" s="4">
        <v>202</v>
      </c>
    </row>
    <row r="547" spans="1:16" hidden="1" x14ac:dyDescent="0.35">
      <c r="A547" s="4" t="s">
        <v>45</v>
      </c>
      <c r="C547" s="4">
        <v>1120</v>
      </c>
      <c r="D547" s="4">
        <v>5</v>
      </c>
      <c r="E547" s="12" t="s">
        <v>31</v>
      </c>
      <c r="F547" s="4">
        <v>2024</v>
      </c>
      <c r="G547" s="4" t="s">
        <v>32</v>
      </c>
      <c r="H547" s="4" t="s">
        <v>33</v>
      </c>
      <c r="I547" s="4" t="s">
        <v>156</v>
      </c>
      <c r="J547" s="4" t="s">
        <v>35</v>
      </c>
      <c r="K547" s="4" t="s">
        <v>244</v>
      </c>
      <c r="L547" s="4" t="s">
        <v>91</v>
      </c>
      <c r="M547" s="4" t="s">
        <v>37</v>
      </c>
      <c r="N547" s="4" t="s">
        <v>192</v>
      </c>
      <c r="O547" s="4">
        <v>28</v>
      </c>
      <c r="P547" s="4">
        <v>202</v>
      </c>
    </row>
    <row r="548" spans="1:16" hidden="1" x14ac:dyDescent="0.35">
      <c r="A548" s="4" t="s">
        <v>45</v>
      </c>
      <c r="C548" s="4">
        <v>1120</v>
      </c>
      <c r="D548" s="4">
        <v>5</v>
      </c>
      <c r="E548" s="12" t="s">
        <v>31</v>
      </c>
      <c r="F548" s="4">
        <v>2024</v>
      </c>
      <c r="G548" s="4" t="s">
        <v>32</v>
      </c>
      <c r="H548" s="4" t="s">
        <v>33</v>
      </c>
      <c r="I548" s="4" t="s">
        <v>156</v>
      </c>
      <c r="J548" s="4" t="s">
        <v>35</v>
      </c>
      <c r="K548" s="4" t="s">
        <v>244</v>
      </c>
      <c r="L548" s="4" t="s">
        <v>39</v>
      </c>
      <c r="M548" s="4" t="s">
        <v>37</v>
      </c>
      <c r="N548" s="4" t="s">
        <v>38</v>
      </c>
      <c r="O548" s="4">
        <v>6</v>
      </c>
      <c r="P548" s="4">
        <v>202</v>
      </c>
    </row>
    <row r="549" spans="1:16" hidden="1" x14ac:dyDescent="0.35">
      <c r="A549" s="4" t="s">
        <v>45</v>
      </c>
      <c r="C549" s="4">
        <v>1120</v>
      </c>
      <c r="D549" s="4">
        <v>5</v>
      </c>
      <c r="E549" s="12" t="s">
        <v>31</v>
      </c>
      <c r="F549" s="4">
        <v>2024</v>
      </c>
      <c r="G549" s="4" t="s">
        <v>32</v>
      </c>
      <c r="H549" s="4" t="s">
        <v>33</v>
      </c>
      <c r="I549" s="4" t="s">
        <v>156</v>
      </c>
      <c r="J549" s="4" t="s">
        <v>35</v>
      </c>
      <c r="K549" s="4" t="s">
        <v>244</v>
      </c>
      <c r="L549" s="4" t="s">
        <v>39</v>
      </c>
      <c r="M549" s="4" t="s">
        <v>37</v>
      </c>
      <c r="N549" s="4" t="s">
        <v>192</v>
      </c>
      <c r="O549" s="4">
        <v>1</v>
      </c>
      <c r="P549" s="4">
        <v>202</v>
      </c>
    </row>
    <row r="550" spans="1:16" hidden="1" x14ac:dyDescent="0.35">
      <c r="A550" s="4" t="s">
        <v>45</v>
      </c>
      <c r="C550" s="4">
        <v>1120</v>
      </c>
      <c r="D550" s="4">
        <v>5</v>
      </c>
      <c r="E550" s="12" t="s">
        <v>31</v>
      </c>
      <c r="F550" s="4">
        <v>2024</v>
      </c>
      <c r="G550" s="4" t="s">
        <v>32</v>
      </c>
      <c r="H550" s="4" t="s">
        <v>33</v>
      </c>
      <c r="I550" s="4" t="s">
        <v>157</v>
      </c>
      <c r="J550" s="4" t="s">
        <v>35</v>
      </c>
      <c r="K550" s="4" t="s">
        <v>244</v>
      </c>
      <c r="L550" s="4" t="s">
        <v>91</v>
      </c>
      <c r="M550" s="4" t="s">
        <v>37</v>
      </c>
      <c r="N550" s="4" t="s">
        <v>38</v>
      </c>
      <c r="O550" s="4">
        <v>33</v>
      </c>
      <c r="P550" s="4">
        <v>202</v>
      </c>
    </row>
    <row r="551" spans="1:16" hidden="1" x14ac:dyDescent="0.35">
      <c r="A551" s="4" t="s">
        <v>45</v>
      </c>
      <c r="C551" s="4">
        <v>1120</v>
      </c>
      <c r="D551" s="4">
        <v>5</v>
      </c>
      <c r="E551" s="12" t="s">
        <v>31</v>
      </c>
      <c r="F551" s="4">
        <v>2024</v>
      </c>
      <c r="G551" s="4" t="s">
        <v>32</v>
      </c>
      <c r="H551" s="4" t="s">
        <v>33</v>
      </c>
      <c r="I551" s="4" t="s">
        <v>157</v>
      </c>
      <c r="J551" s="4" t="s">
        <v>35</v>
      </c>
      <c r="K551" s="4" t="s">
        <v>244</v>
      </c>
      <c r="L551" s="4" t="s">
        <v>91</v>
      </c>
      <c r="M551" s="4" t="s">
        <v>37</v>
      </c>
      <c r="N551" s="4" t="s">
        <v>192</v>
      </c>
      <c r="O551" s="4">
        <v>22</v>
      </c>
      <c r="P551" s="4">
        <v>202</v>
      </c>
    </row>
    <row r="552" spans="1:16" hidden="1" x14ac:dyDescent="0.35">
      <c r="A552" s="4" t="s">
        <v>45</v>
      </c>
      <c r="C552" s="4">
        <v>1120</v>
      </c>
      <c r="D552" s="4">
        <v>5</v>
      </c>
      <c r="E552" s="12" t="s">
        <v>31</v>
      </c>
      <c r="F552" s="4">
        <v>2024</v>
      </c>
      <c r="G552" s="4" t="s">
        <v>32</v>
      </c>
      <c r="H552" s="4" t="s">
        <v>33</v>
      </c>
      <c r="I552" s="4" t="s">
        <v>157</v>
      </c>
      <c r="J552" s="4" t="s">
        <v>35</v>
      </c>
      <c r="K552" s="4" t="s">
        <v>244</v>
      </c>
      <c r="L552" s="4" t="s">
        <v>39</v>
      </c>
      <c r="M552" s="4" t="s">
        <v>37</v>
      </c>
      <c r="N552" s="4" t="s">
        <v>38</v>
      </c>
      <c r="O552" s="4">
        <v>2</v>
      </c>
      <c r="P552" s="4">
        <v>202</v>
      </c>
    </row>
    <row r="553" spans="1:16" hidden="1" x14ac:dyDescent="0.35">
      <c r="A553" s="4" t="s">
        <v>45</v>
      </c>
      <c r="C553" s="4">
        <v>1120</v>
      </c>
      <c r="D553" s="4">
        <v>5</v>
      </c>
      <c r="E553" s="12" t="s">
        <v>31</v>
      </c>
      <c r="F553" s="4">
        <v>2024</v>
      </c>
      <c r="G553" s="4" t="s">
        <v>32</v>
      </c>
      <c r="H553" s="4" t="s">
        <v>33</v>
      </c>
      <c r="I553" s="4" t="s">
        <v>157</v>
      </c>
      <c r="J553" s="4" t="s">
        <v>35</v>
      </c>
      <c r="K553" s="4" t="s">
        <v>244</v>
      </c>
      <c r="L553" s="4" t="s">
        <v>39</v>
      </c>
      <c r="M553" s="4" t="s">
        <v>37</v>
      </c>
      <c r="N553" s="4" t="s">
        <v>192</v>
      </c>
      <c r="O553" s="4">
        <v>1</v>
      </c>
      <c r="P553" s="4">
        <v>202</v>
      </c>
    </row>
    <row r="554" spans="1:16" hidden="1" x14ac:dyDescent="0.35">
      <c r="A554" s="4" t="s">
        <v>45</v>
      </c>
      <c r="C554" s="4">
        <v>1120</v>
      </c>
      <c r="D554" s="4">
        <v>5</v>
      </c>
      <c r="E554" s="12" t="s">
        <v>31</v>
      </c>
      <c r="F554" s="4">
        <v>2024</v>
      </c>
      <c r="G554" s="4" t="s">
        <v>32</v>
      </c>
      <c r="H554" s="4" t="s">
        <v>33</v>
      </c>
      <c r="I554" s="4" t="s">
        <v>158</v>
      </c>
      <c r="J554" s="4" t="s">
        <v>35</v>
      </c>
      <c r="K554" s="4" t="s">
        <v>244</v>
      </c>
      <c r="L554" s="4" t="s">
        <v>91</v>
      </c>
      <c r="M554" s="4" t="s">
        <v>37</v>
      </c>
      <c r="N554" s="4" t="s">
        <v>38</v>
      </c>
      <c r="O554" s="4">
        <v>32</v>
      </c>
      <c r="P554" s="4">
        <v>202</v>
      </c>
    </row>
    <row r="555" spans="1:16" hidden="1" x14ac:dyDescent="0.35">
      <c r="A555" s="4" t="s">
        <v>45</v>
      </c>
      <c r="C555" s="4">
        <v>1120</v>
      </c>
      <c r="D555" s="4">
        <v>5</v>
      </c>
      <c r="E555" s="12" t="s">
        <v>31</v>
      </c>
      <c r="F555" s="4">
        <v>2024</v>
      </c>
      <c r="G555" s="4" t="s">
        <v>32</v>
      </c>
      <c r="H555" s="4" t="s">
        <v>33</v>
      </c>
      <c r="I555" s="4" t="s">
        <v>158</v>
      </c>
      <c r="J555" s="4" t="s">
        <v>35</v>
      </c>
      <c r="K555" s="4" t="s">
        <v>244</v>
      </c>
      <c r="L555" s="4" t="s">
        <v>91</v>
      </c>
      <c r="M555" s="4" t="s">
        <v>37</v>
      </c>
      <c r="N555" s="4" t="s">
        <v>192</v>
      </c>
      <c r="O555" s="4">
        <v>20</v>
      </c>
      <c r="P555" s="4">
        <v>202</v>
      </c>
    </row>
    <row r="556" spans="1:16" hidden="1" x14ac:dyDescent="0.35">
      <c r="A556" s="4" t="s">
        <v>45</v>
      </c>
      <c r="C556" s="4">
        <v>1120</v>
      </c>
      <c r="D556" s="4">
        <v>5</v>
      </c>
      <c r="E556" s="12" t="s">
        <v>31</v>
      </c>
      <c r="F556" s="4">
        <v>2024</v>
      </c>
      <c r="G556" s="4" t="s">
        <v>32</v>
      </c>
      <c r="H556" s="4" t="s">
        <v>33</v>
      </c>
      <c r="I556" s="4" t="s">
        <v>158</v>
      </c>
      <c r="J556" s="4" t="s">
        <v>35</v>
      </c>
      <c r="K556" s="4" t="s">
        <v>244</v>
      </c>
      <c r="L556" s="4" t="s">
        <v>39</v>
      </c>
      <c r="M556" s="4" t="s">
        <v>37</v>
      </c>
      <c r="N556" s="4" t="s">
        <v>38</v>
      </c>
      <c r="O556" s="4">
        <v>1</v>
      </c>
      <c r="P556" s="4">
        <v>202</v>
      </c>
    </row>
    <row r="557" spans="1:16" hidden="1" x14ac:dyDescent="0.35">
      <c r="A557" s="4" t="s">
        <v>45</v>
      </c>
      <c r="C557" s="4">
        <v>1120</v>
      </c>
      <c r="D557" s="4">
        <v>5</v>
      </c>
      <c r="E557" s="12" t="s">
        <v>31</v>
      </c>
      <c r="F557" s="4">
        <v>2024</v>
      </c>
      <c r="G557" s="4" t="s">
        <v>32</v>
      </c>
      <c r="H557" s="4" t="s">
        <v>33</v>
      </c>
      <c r="I557" s="4" t="s">
        <v>158</v>
      </c>
      <c r="J557" s="4" t="s">
        <v>35</v>
      </c>
      <c r="K557" s="4" t="s">
        <v>244</v>
      </c>
      <c r="L557" s="4" t="s">
        <v>39</v>
      </c>
      <c r="M557" s="4" t="s">
        <v>37</v>
      </c>
      <c r="N557" s="4" t="s">
        <v>192</v>
      </c>
      <c r="O557" s="4">
        <v>0</v>
      </c>
      <c r="P557" s="4">
        <v>202</v>
      </c>
    </row>
    <row r="558" spans="1:16" hidden="1" x14ac:dyDescent="0.35">
      <c r="A558" s="4" t="s">
        <v>45</v>
      </c>
      <c r="C558" s="4">
        <v>1120</v>
      </c>
      <c r="D558" s="4">
        <v>5</v>
      </c>
      <c r="E558" s="12" t="s">
        <v>31</v>
      </c>
      <c r="F558" s="4">
        <v>2024</v>
      </c>
      <c r="G558" s="4" t="s">
        <v>32</v>
      </c>
      <c r="H558" s="4" t="s">
        <v>33</v>
      </c>
      <c r="I558" s="4" t="s">
        <v>159</v>
      </c>
      <c r="J558" s="4" t="s">
        <v>35</v>
      </c>
      <c r="K558" s="4" t="s">
        <v>244</v>
      </c>
      <c r="L558" s="4" t="s">
        <v>91</v>
      </c>
      <c r="M558" s="4" t="s">
        <v>37</v>
      </c>
      <c r="N558" s="4" t="s">
        <v>38</v>
      </c>
      <c r="O558" s="4">
        <v>32</v>
      </c>
      <c r="P558" s="4">
        <v>202</v>
      </c>
    </row>
    <row r="559" spans="1:16" hidden="1" x14ac:dyDescent="0.35">
      <c r="A559" s="4" t="s">
        <v>45</v>
      </c>
      <c r="C559" s="4">
        <v>1120</v>
      </c>
      <c r="D559" s="4">
        <v>5</v>
      </c>
      <c r="E559" s="12" t="s">
        <v>31</v>
      </c>
      <c r="F559" s="4">
        <v>2024</v>
      </c>
      <c r="G559" s="4" t="s">
        <v>32</v>
      </c>
      <c r="H559" s="4" t="s">
        <v>33</v>
      </c>
      <c r="I559" s="4" t="s">
        <v>159</v>
      </c>
      <c r="J559" s="4" t="s">
        <v>35</v>
      </c>
      <c r="K559" s="4" t="s">
        <v>244</v>
      </c>
      <c r="L559" s="4" t="s">
        <v>91</v>
      </c>
      <c r="M559" s="4" t="s">
        <v>37</v>
      </c>
      <c r="N559" s="4" t="s">
        <v>192</v>
      </c>
      <c r="O559" s="4">
        <v>32</v>
      </c>
      <c r="P559" s="4">
        <v>202</v>
      </c>
    </row>
    <row r="560" spans="1:16" hidden="1" x14ac:dyDescent="0.35">
      <c r="A560" s="4" t="s">
        <v>45</v>
      </c>
      <c r="C560" s="4">
        <v>1120</v>
      </c>
      <c r="D560" s="4">
        <v>5</v>
      </c>
      <c r="E560" s="12" t="s">
        <v>31</v>
      </c>
      <c r="F560" s="4">
        <v>2024</v>
      </c>
      <c r="G560" s="4" t="s">
        <v>32</v>
      </c>
      <c r="H560" s="4" t="s">
        <v>33</v>
      </c>
      <c r="I560" s="4" t="s">
        <v>159</v>
      </c>
      <c r="J560" s="4" t="s">
        <v>35</v>
      </c>
      <c r="K560" s="4" t="s">
        <v>244</v>
      </c>
      <c r="L560" s="4" t="s">
        <v>39</v>
      </c>
      <c r="M560" s="4" t="s">
        <v>37</v>
      </c>
      <c r="N560" s="4" t="s">
        <v>38</v>
      </c>
      <c r="O560" s="4">
        <v>0</v>
      </c>
      <c r="P560" s="4">
        <v>202</v>
      </c>
    </row>
    <row r="561" spans="1:16" hidden="1" x14ac:dyDescent="0.35">
      <c r="A561" s="4" t="s">
        <v>45</v>
      </c>
      <c r="C561" s="4">
        <v>1120</v>
      </c>
      <c r="D561" s="4">
        <v>5</v>
      </c>
      <c r="E561" s="12" t="s">
        <v>31</v>
      </c>
      <c r="F561" s="4">
        <v>2024</v>
      </c>
      <c r="G561" s="4" t="s">
        <v>32</v>
      </c>
      <c r="H561" s="4" t="s">
        <v>33</v>
      </c>
      <c r="I561" s="4" t="s">
        <v>159</v>
      </c>
      <c r="J561" s="4" t="s">
        <v>35</v>
      </c>
      <c r="K561" s="4" t="s">
        <v>244</v>
      </c>
      <c r="L561" s="4" t="s">
        <v>39</v>
      </c>
      <c r="M561" s="4" t="s">
        <v>37</v>
      </c>
      <c r="N561" s="4" t="s">
        <v>192</v>
      </c>
      <c r="O561" s="4">
        <v>0</v>
      </c>
      <c r="P561" s="4">
        <v>202</v>
      </c>
    </row>
    <row r="562" spans="1:16" hidden="1" x14ac:dyDescent="0.35">
      <c r="A562" s="4" t="s">
        <v>45</v>
      </c>
      <c r="C562" s="4">
        <v>1120</v>
      </c>
      <c r="D562" s="4">
        <v>5</v>
      </c>
      <c r="E562" s="12" t="s">
        <v>31</v>
      </c>
      <c r="F562" s="4">
        <v>2024</v>
      </c>
      <c r="G562" s="4" t="s">
        <v>32</v>
      </c>
      <c r="H562" s="4" t="s">
        <v>33</v>
      </c>
      <c r="I562" s="4" t="s">
        <v>160</v>
      </c>
      <c r="J562" s="4" t="s">
        <v>35</v>
      </c>
      <c r="K562" s="4" t="s">
        <v>244</v>
      </c>
      <c r="L562" s="4" t="s">
        <v>91</v>
      </c>
      <c r="M562" s="4" t="s">
        <v>37</v>
      </c>
      <c r="N562" s="4" t="s">
        <v>38</v>
      </c>
      <c r="O562" s="4">
        <v>31</v>
      </c>
      <c r="P562" s="4">
        <v>202</v>
      </c>
    </row>
    <row r="563" spans="1:16" hidden="1" x14ac:dyDescent="0.35">
      <c r="A563" s="4" t="s">
        <v>45</v>
      </c>
      <c r="C563" s="4">
        <v>1120</v>
      </c>
      <c r="D563" s="4">
        <v>5</v>
      </c>
      <c r="E563" s="12" t="s">
        <v>31</v>
      </c>
      <c r="F563" s="4">
        <v>2024</v>
      </c>
      <c r="G563" s="4" t="s">
        <v>32</v>
      </c>
      <c r="H563" s="4" t="s">
        <v>33</v>
      </c>
      <c r="I563" s="4" t="s">
        <v>160</v>
      </c>
      <c r="J563" s="4" t="s">
        <v>35</v>
      </c>
      <c r="K563" s="4" t="s">
        <v>244</v>
      </c>
      <c r="L563" s="4" t="s">
        <v>91</v>
      </c>
      <c r="M563" s="4" t="s">
        <v>37</v>
      </c>
      <c r="N563" s="4" t="s">
        <v>192</v>
      </c>
      <c r="O563" s="4">
        <v>24</v>
      </c>
      <c r="P563" s="4">
        <v>202</v>
      </c>
    </row>
    <row r="564" spans="1:16" hidden="1" x14ac:dyDescent="0.35">
      <c r="A564" s="4" t="s">
        <v>45</v>
      </c>
      <c r="C564" s="4">
        <v>1120</v>
      </c>
      <c r="D564" s="4">
        <v>5</v>
      </c>
      <c r="E564" s="12" t="s">
        <v>31</v>
      </c>
      <c r="F564" s="4">
        <v>2024</v>
      </c>
      <c r="G564" s="4" t="s">
        <v>32</v>
      </c>
      <c r="H564" s="4" t="s">
        <v>33</v>
      </c>
      <c r="I564" s="4" t="s">
        <v>160</v>
      </c>
      <c r="J564" s="4" t="s">
        <v>35</v>
      </c>
      <c r="K564" s="4" t="s">
        <v>244</v>
      </c>
      <c r="L564" s="4" t="s">
        <v>39</v>
      </c>
      <c r="M564" s="4" t="s">
        <v>37</v>
      </c>
      <c r="N564" s="4" t="s">
        <v>38</v>
      </c>
      <c r="O564" s="4">
        <v>1</v>
      </c>
      <c r="P564" s="4">
        <v>202</v>
      </c>
    </row>
    <row r="565" spans="1:16" hidden="1" x14ac:dyDescent="0.35">
      <c r="A565" s="4" t="s">
        <v>45</v>
      </c>
      <c r="C565" s="4">
        <v>1120</v>
      </c>
      <c r="D565" s="4">
        <v>5</v>
      </c>
      <c r="E565" s="12" t="s">
        <v>31</v>
      </c>
      <c r="F565" s="4">
        <v>2024</v>
      </c>
      <c r="G565" s="4" t="s">
        <v>32</v>
      </c>
      <c r="H565" s="4" t="s">
        <v>33</v>
      </c>
      <c r="I565" s="4" t="s">
        <v>160</v>
      </c>
      <c r="J565" s="4" t="s">
        <v>35</v>
      </c>
      <c r="K565" s="4" t="s">
        <v>244</v>
      </c>
      <c r="L565" s="4" t="s">
        <v>39</v>
      </c>
      <c r="M565" s="4" t="s">
        <v>37</v>
      </c>
      <c r="N565" s="4" t="s">
        <v>192</v>
      </c>
      <c r="O565" s="4">
        <v>2</v>
      </c>
      <c r="P565" s="4">
        <v>202</v>
      </c>
    </row>
    <row r="566" spans="1:16" hidden="1" x14ac:dyDescent="0.35">
      <c r="A566" s="4" t="s">
        <v>45</v>
      </c>
      <c r="C566" s="4">
        <v>1120</v>
      </c>
      <c r="D566" s="4">
        <v>5</v>
      </c>
      <c r="E566" s="12" t="s">
        <v>31</v>
      </c>
      <c r="F566" s="4">
        <v>2024</v>
      </c>
      <c r="G566" s="4" t="s">
        <v>32</v>
      </c>
      <c r="H566" s="4" t="s">
        <v>33</v>
      </c>
      <c r="I566" s="4" t="s">
        <v>161</v>
      </c>
      <c r="J566" s="4" t="s">
        <v>35</v>
      </c>
      <c r="K566" s="4" t="s">
        <v>244</v>
      </c>
      <c r="L566" s="4" t="s">
        <v>91</v>
      </c>
      <c r="M566" s="4" t="s">
        <v>37</v>
      </c>
      <c r="N566" s="4" t="s">
        <v>38</v>
      </c>
      <c r="O566" s="4">
        <v>31</v>
      </c>
      <c r="P566" s="4">
        <v>202</v>
      </c>
    </row>
    <row r="567" spans="1:16" hidden="1" x14ac:dyDescent="0.35">
      <c r="A567" s="4" t="s">
        <v>45</v>
      </c>
      <c r="C567" s="4">
        <v>1120</v>
      </c>
      <c r="D567" s="4">
        <v>5</v>
      </c>
      <c r="E567" s="12" t="s">
        <v>31</v>
      </c>
      <c r="F567" s="4">
        <v>2024</v>
      </c>
      <c r="G567" s="4" t="s">
        <v>32</v>
      </c>
      <c r="H567" s="4" t="s">
        <v>33</v>
      </c>
      <c r="I567" s="4" t="s">
        <v>161</v>
      </c>
      <c r="J567" s="4" t="s">
        <v>35</v>
      </c>
      <c r="K567" s="4" t="s">
        <v>244</v>
      </c>
      <c r="L567" s="4" t="s">
        <v>91</v>
      </c>
      <c r="M567" s="4" t="s">
        <v>37</v>
      </c>
      <c r="N567" s="4" t="s">
        <v>192</v>
      </c>
      <c r="O567" s="4">
        <v>25</v>
      </c>
      <c r="P567" s="4">
        <v>202</v>
      </c>
    </row>
    <row r="568" spans="1:16" hidden="1" x14ac:dyDescent="0.35">
      <c r="A568" s="4" t="s">
        <v>45</v>
      </c>
      <c r="C568" s="4">
        <v>1120</v>
      </c>
      <c r="D568" s="4">
        <v>5</v>
      </c>
      <c r="E568" s="12" t="s">
        <v>31</v>
      </c>
      <c r="F568" s="4">
        <v>2024</v>
      </c>
      <c r="G568" s="4" t="s">
        <v>32</v>
      </c>
      <c r="H568" s="4" t="s">
        <v>33</v>
      </c>
      <c r="I568" s="4" t="s">
        <v>161</v>
      </c>
      <c r="J568" s="4" t="s">
        <v>35</v>
      </c>
      <c r="K568" s="4" t="s">
        <v>244</v>
      </c>
      <c r="L568" s="4" t="s">
        <v>39</v>
      </c>
      <c r="M568" s="4" t="s">
        <v>37</v>
      </c>
      <c r="N568" s="4" t="s">
        <v>38</v>
      </c>
      <c r="O568" s="4">
        <v>5</v>
      </c>
      <c r="P568" s="4">
        <v>202</v>
      </c>
    </row>
    <row r="569" spans="1:16" hidden="1" x14ac:dyDescent="0.35">
      <c r="A569" s="4" t="s">
        <v>45</v>
      </c>
      <c r="C569" s="4">
        <v>1120</v>
      </c>
      <c r="D569" s="4">
        <v>5</v>
      </c>
      <c r="E569" s="12" t="s">
        <v>31</v>
      </c>
      <c r="F569" s="4">
        <v>2024</v>
      </c>
      <c r="G569" s="4" t="s">
        <v>32</v>
      </c>
      <c r="H569" s="4" t="s">
        <v>33</v>
      </c>
      <c r="I569" s="4" t="s">
        <v>161</v>
      </c>
      <c r="J569" s="4" t="s">
        <v>35</v>
      </c>
      <c r="K569" s="4" t="s">
        <v>244</v>
      </c>
      <c r="L569" s="4" t="s">
        <v>39</v>
      </c>
      <c r="M569" s="4" t="s">
        <v>37</v>
      </c>
      <c r="N569" s="4" t="s">
        <v>192</v>
      </c>
      <c r="O569" s="4">
        <v>0</v>
      </c>
      <c r="P569" s="4">
        <v>202</v>
      </c>
    </row>
    <row r="570" spans="1:16" hidden="1" x14ac:dyDescent="0.35">
      <c r="A570" s="4" t="s">
        <v>45</v>
      </c>
      <c r="C570" s="4">
        <v>1120</v>
      </c>
      <c r="D570" s="4">
        <v>5</v>
      </c>
      <c r="E570" s="12" t="s">
        <v>31</v>
      </c>
      <c r="F570" s="4">
        <v>2024</v>
      </c>
      <c r="G570" s="4" t="s">
        <v>32</v>
      </c>
      <c r="H570" s="4" t="s">
        <v>33</v>
      </c>
      <c r="I570" s="4" t="s">
        <v>162</v>
      </c>
      <c r="J570" s="4" t="s">
        <v>35</v>
      </c>
      <c r="K570" s="4" t="s">
        <v>244</v>
      </c>
      <c r="L570" s="4" t="s">
        <v>91</v>
      </c>
      <c r="M570" s="4" t="s">
        <v>37</v>
      </c>
      <c r="N570" s="4" t="s">
        <v>38</v>
      </c>
      <c r="O570" s="4">
        <v>30</v>
      </c>
      <c r="P570" s="4">
        <v>202</v>
      </c>
    </row>
    <row r="571" spans="1:16" hidden="1" x14ac:dyDescent="0.35">
      <c r="A571" s="4" t="s">
        <v>45</v>
      </c>
      <c r="C571" s="4">
        <v>1120</v>
      </c>
      <c r="D571" s="4">
        <v>5</v>
      </c>
      <c r="E571" s="12" t="s">
        <v>31</v>
      </c>
      <c r="F571" s="4">
        <v>2024</v>
      </c>
      <c r="G571" s="4" t="s">
        <v>32</v>
      </c>
      <c r="H571" s="4" t="s">
        <v>33</v>
      </c>
      <c r="I571" s="4" t="s">
        <v>162</v>
      </c>
      <c r="J571" s="4" t="s">
        <v>35</v>
      </c>
      <c r="K571" s="4" t="s">
        <v>244</v>
      </c>
      <c r="L571" s="4" t="s">
        <v>91</v>
      </c>
      <c r="M571" s="4" t="s">
        <v>37</v>
      </c>
      <c r="N571" s="4" t="s">
        <v>192</v>
      </c>
      <c r="O571" s="4">
        <v>17</v>
      </c>
      <c r="P571" s="4">
        <v>202</v>
      </c>
    </row>
    <row r="572" spans="1:16" hidden="1" x14ac:dyDescent="0.35">
      <c r="A572" s="4" t="s">
        <v>45</v>
      </c>
      <c r="C572" s="4">
        <v>1120</v>
      </c>
      <c r="D572" s="4">
        <v>5</v>
      </c>
      <c r="E572" s="12" t="s">
        <v>31</v>
      </c>
      <c r="F572" s="4">
        <v>2024</v>
      </c>
      <c r="G572" s="4" t="s">
        <v>32</v>
      </c>
      <c r="H572" s="4" t="s">
        <v>33</v>
      </c>
      <c r="I572" s="4" t="s">
        <v>162</v>
      </c>
      <c r="J572" s="4" t="s">
        <v>35</v>
      </c>
      <c r="K572" s="4" t="s">
        <v>244</v>
      </c>
      <c r="L572" s="4" t="s">
        <v>39</v>
      </c>
      <c r="M572" s="4" t="s">
        <v>37</v>
      </c>
      <c r="N572" s="4" t="s">
        <v>38</v>
      </c>
      <c r="O572" s="4">
        <v>8</v>
      </c>
      <c r="P572" s="4">
        <v>202</v>
      </c>
    </row>
    <row r="573" spans="1:16" hidden="1" x14ac:dyDescent="0.35">
      <c r="A573" s="4" t="s">
        <v>45</v>
      </c>
      <c r="C573" s="4">
        <v>1120</v>
      </c>
      <c r="D573" s="4">
        <v>5</v>
      </c>
      <c r="E573" s="12" t="s">
        <v>31</v>
      </c>
      <c r="F573" s="4">
        <v>2024</v>
      </c>
      <c r="G573" s="4" t="s">
        <v>32</v>
      </c>
      <c r="H573" s="4" t="s">
        <v>33</v>
      </c>
      <c r="I573" s="4" t="s">
        <v>162</v>
      </c>
      <c r="J573" s="4" t="s">
        <v>35</v>
      </c>
      <c r="K573" s="4" t="s">
        <v>244</v>
      </c>
      <c r="L573" s="4" t="s">
        <v>39</v>
      </c>
      <c r="M573" s="4" t="s">
        <v>37</v>
      </c>
      <c r="N573" s="4" t="s">
        <v>192</v>
      </c>
      <c r="O573" s="4">
        <v>2</v>
      </c>
      <c r="P573" s="4">
        <v>202</v>
      </c>
    </row>
    <row r="574" spans="1:16" hidden="1" x14ac:dyDescent="0.35">
      <c r="A574" s="4" t="s">
        <v>45</v>
      </c>
      <c r="C574" s="4">
        <v>1120</v>
      </c>
      <c r="D574" s="4">
        <v>5</v>
      </c>
      <c r="E574" s="12" t="s">
        <v>31</v>
      </c>
      <c r="F574" s="4">
        <v>2024</v>
      </c>
      <c r="G574" s="4" t="s">
        <v>32</v>
      </c>
      <c r="H574" s="4" t="s">
        <v>33</v>
      </c>
      <c r="I574" s="4" t="s">
        <v>163</v>
      </c>
      <c r="J574" s="4" t="s">
        <v>35</v>
      </c>
      <c r="K574" s="4" t="s">
        <v>244</v>
      </c>
      <c r="L574" s="4" t="s">
        <v>91</v>
      </c>
      <c r="M574" s="4" t="s">
        <v>37</v>
      </c>
      <c r="N574" s="4" t="s">
        <v>38</v>
      </c>
      <c r="O574" s="4">
        <v>27</v>
      </c>
      <c r="P574" s="4">
        <v>202</v>
      </c>
    </row>
    <row r="575" spans="1:16" hidden="1" x14ac:dyDescent="0.35">
      <c r="A575" s="4" t="s">
        <v>45</v>
      </c>
      <c r="C575" s="4">
        <v>1120</v>
      </c>
      <c r="D575" s="4">
        <v>5</v>
      </c>
      <c r="E575" s="12" t="s">
        <v>31</v>
      </c>
      <c r="F575" s="4">
        <v>2024</v>
      </c>
      <c r="G575" s="4" t="s">
        <v>32</v>
      </c>
      <c r="H575" s="4" t="s">
        <v>33</v>
      </c>
      <c r="I575" s="4" t="s">
        <v>163</v>
      </c>
      <c r="J575" s="4" t="s">
        <v>35</v>
      </c>
      <c r="K575" s="4" t="s">
        <v>244</v>
      </c>
      <c r="L575" s="4" t="s">
        <v>91</v>
      </c>
      <c r="M575" s="4" t="s">
        <v>37</v>
      </c>
      <c r="N575" s="4" t="s">
        <v>192</v>
      </c>
      <c r="O575" s="4">
        <v>24</v>
      </c>
      <c r="P575" s="4">
        <v>202</v>
      </c>
    </row>
    <row r="576" spans="1:16" hidden="1" x14ac:dyDescent="0.35">
      <c r="A576" s="4" t="s">
        <v>45</v>
      </c>
      <c r="C576" s="4">
        <v>1120</v>
      </c>
      <c r="D576" s="4">
        <v>5</v>
      </c>
      <c r="E576" s="12" t="s">
        <v>31</v>
      </c>
      <c r="F576" s="4">
        <v>2024</v>
      </c>
      <c r="G576" s="4" t="s">
        <v>32</v>
      </c>
      <c r="H576" s="4" t="s">
        <v>33</v>
      </c>
      <c r="I576" s="4" t="s">
        <v>163</v>
      </c>
      <c r="J576" s="4" t="s">
        <v>35</v>
      </c>
      <c r="K576" s="4" t="s">
        <v>244</v>
      </c>
      <c r="L576" s="4" t="s">
        <v>39</v>
      </c>
      <c r="M576" s="4" t="s">
        <v>37</v>
      </c>
      <c r="N576" s="4" t="s">
        <v>38</v>
      </c>
      <c r="O576" s="4">
        <v>0</v>
      </c>
      <c r="P576" s="4">
        <v>202</v>
      </c>
    </row>
    <row r="577" spans="1:16" hidden="1" x14ac:dyDescent="0.35">
      <c r="A577" s="4" t="s">
        <v>45</v>
      </c>
      <c r="C577" s="4">
        <v>1120</v>
      </c>
      <c r="D577" s="4">
        <v>5</v>
      </c>
      <c r="E577" s="12" t="s">
        <v>31</v>
      </c>
      <c r="F577" s="4">
        <v>2024</v>
      </c>
      <c r="G577" s="4" t="s">
        <v>32</v>
      </c>
      <c r="H577" s="4" t="s">
        <v>33</v>
      </c>
      <c r="I577" s="4" t="s">
        <v>163</v>
      </c>
      <c r="J577" s="4" t="s">
        <v>35</v>
      </c>
      <c r="K577" s="4" t="s">
        <v>244</v>
      </c>
      <c r="L577" s="4" t="s">
        <v>39</v>
      </c>
      <c r="M577" s="4" t="s">
        <v>37</v>
      </c>
      <c r="N577" s="4" t="s">
        <v>192</v>
      </c>
      <c r="O577" s="4">
        <v>1</v>
      </c>
      <c r="P577" s="4">
        <v>202</v>
      </c>
    </row>
    <row r="578" spans="1:16" hidden="1" x14ac:dyDescent="0.35">
      <c r="A578" s="4" t="s">
        <v>45</v>
      </c>
      <c r="C578" s="4">
        <v>1120</v>
      </c>
      <c r="D578" s="4">
        <v>5</v>
      </c>
      <c r="E578" s="12" t="s">
        <v>31</v>
      </c>
      <c r="F578" s="4">
        <v>2024</v>
      </c>
      <c r="G578" s="4" t="s">
        <v>32</v>
      </c>
      <c r="H578" s="4" t="s">
        <v>33</v>
      </c>
      <c r="I578" s="4" t="s">
        <v>164</v>
      </c>
      <c r="J578" s="4" t="s">
        <v>35</v>
      </c>
      <c r="K578" s="4" t="s">
        <v>244</v>
      </c>
      <c r="L578" s="4" t="s">
        <v>91</v>
      </c>
      <c r="M578" s="4" t="s">
        <v>37</v>
      </c>
      <c r="N578" s="4" t="s">
        <v>38</v>
      </c>
      <c r="O578" s="4">
        <v>22</v>
      </c>
      <c r="P578" s="4">
        <v>202</v>
      </c>
    </row>
    <row r="579" spans="1:16" hidden="1" x14ac:dyDescent="0.35">
      <c r="A579" s="4" t="s">
        <v>45</v>
      </c>
      <c r="C579" s="4">
        <v>1120</v>
      </c>
      <c r="D579" s="4">
        <v>5</v>
      </c>
      <c r="E579" s="12" t="s">
        <v>31</v>
      </c>
      <c r="F579" s="4">
        <v>2024</v>
      </c>
      <c r="G579" s="4" t="s">
        <v>32</v>
      </c>
      <c r="H579" s="4" t="s">
        <v>33</v>
      </c>
      <c r="I579" s="4" t="s">
        <v>164</v>
      </c>
      <c r="J579" s="4" t="s">
        <v>35</v>
      </c>
      <c r="K579" s="4" t="s">
        <v>244</v>
      </c>
      <c r="L579" s="4" t="s">
        <v>91</v>
      </c>
      <c r="M579" s="4" t="s">
        <v>37</v>
      </c>
      <c r="N579" s="4" t="s">
        <v>192</v>
      </c>
      <c r="O579" s="4">
        <v>16</v>
      </c>
      <c r="P579" s="4">
        <v>202</v>
      </c>
    </row>
    <row r="580" spans="1:16" hidden="1" x14ac:dyDescent="0.35">
      <c r="A580" s="4" t="s">
        <v>45</v>
      </c>
      <c r="C580" s="4">
        <v>1120</v>
      </c>
      <c r="D580" s="4">
        <v>5</v>
      </c>
      <c r="E580" s="12" t="s">
        <v>31</v>
      </c>
      <c r="F580" s="4">
        <v>2024</v>
      </c>
      <c r="G580" s="4" t="s">
        <v>32</v>
      </c>
      <c r="H580" s="4" t="s">
        <v>33</v>
      </c>
      <c r="I580" s="4" t="s">
        <v>164</v>
      </c>
      <c r="J580" s="4" t="s">
        <v>35</v>
      </c>
      <c r="K580" s="4" t="s">
        <v>244</v>
      </c>
      <c r="L580" s="4" t="s">
        <v>39</v>
      </c>
      <c r="M580" s="4" t="s">
        <v>37</v>
      </c>
      <c r="N580" s="4" t="s">
        <v>38</v>
      </c>
      <c r="O580" s="4">
        <v>1</v>
      </c>
      <c r="P580" s="4">
        <v>202</v>
      </c>
    </row>
    <row r="581" spans="1:16" hidden="1" x14ac:dyDescent="0.35">
      <c r="A581" s="4" t="s">
        <v>45</v>
      </c>
      <c r="C581" s="4">
        <v>1120</v>
      </c>
      <c r="D581" s="4">
        <v>5</v>
      </c>
      <c r="E581" s="12" t="s">
        <v>31</v>
      </c>
      <c r="F581" s="4">
        <v>2024</v>
      </c>
      <c r="G581" s="4" t="s">
        <v>32</v>
      </c>
      <c r="H581" s="4" t="s">
        <v>33</v>
      </c>
      <c r="I581" s="4" t="s">
        <v>164</v>
      </c>
      <c r="J581" s="4" t="s">
        <v>35</v>
      </c>
      <c r="K581" s="4" t="s">
        <v>244</v>
      </c>
      <c r="L581" s="4" t="s">
        <v>39</v>
      </c>
      <c r="M581" s="4" t="s">
        <v>37</v>
      </c>
      <c r="N581" s="4" t="s">
        <v>192</v>
      </c>
      <c r="O581" s="4">
        <v>1</v>
      </c>
      <c r="P581" s="4">
        <v>202</v>
      </c>
    </row>
    <row r="582" spans="1:16" hidden="1" x14ac:dyDescent="0.35">
      <c r="A582" s="4" t="s">
        <v>45</v>
      </c>
      <c r="C582" s="4">
        <v>1120</v>
      </c>
      <c r="D582" s="4">
        <v>5</v>
      </c>
      <c r="E582" s="12" t="s">
        <v>31</v>
      </c>
      <c r="F582" s="4">
        <v>2024</v>
      </c>
      <c r="G582" s="4" t="s">
        <v>32</v>
      </c>
      <c r="H582" s="4" t="s">
        <v>33</v>
      </c>
      <c r="I582" s="4" t="s">
        <v>165</v>
      </c>
      <c r="J582" s="4" t="s">
        <v>35</v>
      </c>
      <c r="K582" s="4" t="s">
        <v>244</v>
      </c>
      <c r="L582" s="4" t="s">
        <v>91</v>
      </c>
      <c r="M582" s="4" t="s">
        <v>37</v>
      </c>
      <c r="N582" s="4" t="s">
        <v>38</v>
      </c>
      <c r="O582" s="4">
        <v>21</v>
      </c>
      <c r="P582" s="4">
        <v>202</v>
      </c>
    </row>
    <row r="583" spans="1:16" hidden="1" x14ac:dyDescent="0.35">
      <c r="A583" s="4" t="s">
        <v>45</v>
      </c>
      <c r="C583" s="4">
        <v>1120</v>
      </c>
      <c r="D583" s="4">
        <v>5</v>
      </c>
      <c r="E583" s="12" t="s">
        <v>31</v>
      </c>
      <c r="F583" s="4">
        <v>2024</v>
      </c>
      <c r="G583" s="4" t="s">
        <v>32</v>
      </c>
      <c r="H583" s="4" t="s">
        <v>33</v>
      </c>
      <c r="I583" s="4" t="s">
        <v>165</v>
      </c>
      <c r="J583" s="4" t="s">
        <v>35</v>
      </c>
      <c r="K583" s="4" t="s">
        <v>244</v>
      </c>
      <c r="L583" s="4" t="s">
        <v>91</v>
      </c>
      <c r="M583" s="4" t="s">
        <v>37</v>
      </c>
      <c r="N583" s="4" t="s">
        <v>192</v>
      </c>
      <c r="O583" s="4">
        <v>5</v>
      </c>
      <c r="P583" s="4">
        <v>202</v>
      </c>
    </row>
    <row r="584" spans="1:16" hidden="1" x14ac:dyDescent="0.35">
      <c r="A584" s="4" t="s">
        <v>45</v>
      </c>
      <c r="C584" s="4">
        <v>1120</v>
      </c>
      <c r="D584" s="4">
        <v>5</v>
      </c>
      <c r="E584" s="12" t="s">
        <v>31</v>
      </c>
      <c r="F584" s="4">
        <v>2024</v>
      </c>
      <c r="G584" s="4" t="s">
        <v>32</v>
      </c>
      <c r="H584" s="4" t="s">
        <v>33</v>
      </c>
      <c r="I584" s="4" t="s">
        <v>165</v>
      </c>
      <c r="J584" s="4" t="s">
        <v>35</v>
      </c>
      <c r="K584" s="4" t="s">
        <v>244</v>
      </c>
      <c r="L584" s="4" t="s">
        <v>39</v>
      </c>
      <c r="M584" s="4" t="s">
        <v>37</v>
      </c>
      <c r="N584" s="4" t="s">
        <v>38</v>
      </c>
      <c r="O584" s="4">
        <v>0</v>
      </c>
      <c r="P584" s="4">
        <v>202</v>
      </c>
    </row>
    <row r="585" spans="1:16" hidden="1" x14ac:dyDescent="0.35">
      <c r="A585" s="4" t="s">
        <v>45</v>
      </c>
      <c r="C585" s="4">
        <v>1120</v>
      </c>
      <c r="D585" s="4">
        <v>5</v>
      </c>
      <c r="E585" s="12" t="s">
        <v>31</v>
      </c>
      <c r="F585" s="4">
        <v>2024</v>
      </c>
      <c r="G585" s="4" t="s">
        <v>32</v>
      </c>
      <c r="H585" s="4" t="s">
        <v>33</v>
      </c>
      <c r="I585" s="4" t="s">
        <v>165</v>
      </c>
      <c r="J585" s="4" t="s">
        <v>35</v>
      </c>
      <c r="K585" s="4" t="s">
        <v>244</v>
      </c>
      <c r="L585" s="4" t="s">
        <v>39</v>
      </c>
      <c r="M585" s="4" t="s">
        <v>37</v>
      </c>
      <c r="N585" s="4" t="s">
        <v>192</v>
      </c>
      <c r="O585" s="4">
        <v>0</v>
      </c>
      <c r="P585" s="4">
        <v>202</v>
      </c>
    </row>
    <row r="586" spans="1:16" hidden="1" x14ac:dyDescent="0.35">
      <c r="A586" s="4" t="s">
        <v>45</v>
      </c>
      <c r="C586" s="4">
        <v>1120</v>
      </c>
      <c r="D586" s="4">
        <v>5</v>
      </c>
      <c r="E586" s="12" t="s">
        <v>31</v>
      </c>
      <c r="F586" s="4">
        <v>2024</v>
      </c>
      <c r="G586" s="4" t="s">
        <v>32</v>
      </c>
      <c r="H586" s="4" t="s">
        <v>33</v>
      </c>
      <c r="I586" s="4" t="s">
        <v>166</v>
      </c>
      <c r="J586" s="4" t="s">
        <v>35</v>
      </c>
      <c r="K586" s="4" t="s">
        <v>244</v>
      </c>
      <c r="L586" s="4" t="s">
        <v>91</v>
      </c>
      <c r="M586" s="4" t="s">
        <v>37</v>
      </c>
      <c r="N586" s="4" t="s">
        <v>38</v>
      </c>
      <c r="O586" s="4">
        <v>18</v>
      </c>
      <c r="P586" s="4">
        <v>202</v>
      </c>
    </row>
    <row r="587" spans="1:16" hidden="1" x14ac:dyDescent="0.35">
      <c r="A587" s="4" t="s">
        <v>45</v>
      </c>
      <c r="C587" s="4">
        <v>1120</v>
      </c>
      <c r="D587" s="4">
        <v>5</v>
      </c>
      <c r="E587" s="12" t="s">
        <v>31</v>
      </c>
      <c r="F587" s="4">
        <v>2024</v>
      </c>
      <c r="G587" s="4" t="s">
        <v>32</v>
      </c>
      <c r="H587" s="4" t="s">
        <v>33</v>
      </c>
      <c r="I587" s="4" t="s">
        <v>166</v>
      </c>
      <c r="J587" s="4" t="s">
        <v>35</v>
      </c>
      <c r="K587" s="4" t="s">
        <v>244</v>
      </c>
      <c r="L587" s="4" t="s">
        <v>91</v>
      </c>
      <c r="M587" s="4" t="s">
        <v>37</v>
      </c>
      <c r="N587" s="4" t="s">
        <v>192</v>
      </c>
      <c r="O587" s="4">
        <v>17</v>
      </c>
      <c r="P587" s="4">
        <v>202</v>
      </c>
    </row>
    <row r="588" spans="1:16" hidden="1" x14ac:dyDescent="0.35">
      <c r="A588" s="4" t="s">
        <v>45</v>
      </c>
      <c r="C588" s="4">
        <v>1120</v>
      </c>
      <c r="D588" s="4">
        <v>5</v>
      </c>
      <c r="E588" s="12" t="s">
        <v>31</v>
      </c>
      <c r="F588" s="4">
        <v>2024</v>
      </c>
      <c r="G588" s="4" t="s">
        <v>32</v>
      </c>
      <c r="H588" s="4" t="s">
        <v>33</v>
      </c>
      <c r="I588" s="4" t="s">
        <v>166</v>
      </c>
      <c r="J588" s="4" t="s">
        <v>35</v>
      </c>
      <c r="K588" s="4" t="s">
        <v>244</v>
      </c>
      <c r="L588" s="4" t="s">
        <v>39</v>
      </c>
      <c r="M588" s="4" t="s">
        <v>37</v>
      </c>
      <c r="N588" s="4" t="s">
        <v>38</v>
      </c>
      <c r="O588" s="4">
        <v>3</v>
      </c>
      <c r="P588" s="4">
        <v>202</v>
      </c>
    </row>
    <row r="589" spans="1:16" hidden="1" x14ac:dyDescent="0.35">
      <c r="A589" s="4" t="s">
        <v>45</v>
      </c>
      <c r="C589" s="4">
        <v>1120</v>
      </c>
      <c r="D589" s="4">
        <v>5</v>
      </c>
      <c r="E589" s="12" t="s">
        <v>31</v>
      </c>
      <c r="F589" s="4">
        <v>2024</v>
      </c>
      <c r="G589" s="4" t="s">
        <v>32</v>
      </c>
      <c r="H589" s="4" t="s">
        <v>33</v>
      </c>
      <c r="I589" s="4" t="s">
        <v>166</v>
      </c>
      <c r="J589" s="4" t="s">
        <v>35</v>
      </c>
      <c r="K589" s="4" t="s">
        <v>244</v>
      </c>
      <c r="L589" s="4" t="s">
        <v>39</v>
      </c>
      <c r="M589" s="4" t="s">
        <v>37</v>
      </c>
      <c r="N589" s="4" t="s">
        <v>192</v>
      </c>
      <c r="O589" s="4">
        <v>0</v>
      </c>
      <c r="P589" s="4">
        <v>202</v>
      </c>
    </row>
    <row r="590" spans="1:16" hidden="1" x14ac:dyDescent="0.35">
      <c r="A590" s="4" t="s">
        <v>45</v>
      </c>
      <c r="C590" s="4">
        <v>1120</v>
      </c>
      <c r="D590" s="4">
        <v>5</v>
      </c>
      <c r="E590" s="12" t="s">
        <v>31</v>
      </c>
      <c r="F590" s="4">
        <v>2024</v>
      </c>
      <c r="G590" s="4" t="s">
        <v>32</v>
      </c>
      <c r="H590" s="4" t="s">
        <v>33</v>
      </c>
      <c r="I590" s="4" t="s">
        <v>167</v>
      </c>
      <c r="J590" s="4" t="s">
        <v>35</v>
      </c>
      <c r="K590" s="4" t="s">
        <v>244</v>
      </c>
      <c r="L590" s="4" t="s">
        <v>91</v>
      </c>
      <c r="M590" s="4" t="s">
        <v>37</v>
      </c>
      <c r="N590" s="4" t="s">
        <v>38</v>
      </c>
      <c r="O590" s="4">
        <v>12</v>
      </c>
      <c r="P590" s="4">
        <v>202</v>
      </c>
    </row>
    <row r="591" spans="1:16" hidden="1" x14ac:dyDescent="0.35">
      <c r="A591" s="4" t="s">
        <v>45</v>
      </c>
      <c r="C591" s="4">
        <v>1120</v>
      </c>
      <c r="D591" s="4">
        <v>5</v>
      </c>
      <c r="E591" s="12" t="s">
        <v>31</v>
      </c>
      <c r="F591" s="4">
        <v>2024</v>
      </c>
      <c r="G591" s="4" t="s">
        <v>32</v>
      </c>
      <c r="H591" s="4" t="s">
        <v>33</v>
      </c>
      <c r="I591" s="4" t="s">
        <v>167</v>
      </c>
      <c r="J591" s="4" t="s">
        <v>35</v>
      </c>
      <c r="K591" s="4" t="s">
        <v>244</v>
      </c>
      <c r="L591" s="4" t="s">
        <v>91</v>
      </c>
      <c r="M591" s="4" t="s">
        <v>37</v>
      </c>
      <c r="N591" s="4" t="s">
        <v>192</v>
      </c>
      <c r="O591" s="4">
        <v>10</v>
      </c>
      <c r="P591" s="4">
        <v>202</v>
      </c>
    </row>
    <row r="592" spans="1:16" hidden="1" x14ac:dyDescent="0.35">
      <c r="A592" s="4" t="s">
        <v>45</v>
      </c>
      <c r="C592" s="4">
        <v>1120</v>
      </c>
      <c r="D592" s="4">
        <v>5</v>
      </c>
      <c r="E592" s="12" t="s">
        <v>31</v>
      </c>
      <c r="F592" s="4">
        <v>2024</v>
      </c>
      <c r="G592" s="4" t="s">
        <v>32</v>
      </c>
      <c r="H592" s="4" t="s">
        <v>33</v>
      </c>
      <c r="I592" s="4" t="s">
        <v>167</v>
      </c>
      <c r="J592" s="4" t="s">
        <v>35</v>
      </c>
      <c r="K592" s="4" t="s">
        <v>244</v>
      </c>
      <c r="L592" s="4" t="s">
        <v>39</v>
      </c>
      <c r="M592" s="4" t="s">
        <v>37</v>
      </c>
      <c r="N592" s="4" t="s">
        <v>38</v>
      </c>
      <c r="O592" s="4">
        <v>0</v>
      </c>
      <c r="P592" s="4">
        <v>202</v>
      </c>
    </row>
    <row r="593" spans="1:19" hidden="1" x14ac:dyDescent="0.35">
      <c r="A593" s="4" t="s">
        <v>45</v>
      </c>
      <c r="C593" s="4">
        <v>1120</v>
      </c>
      <c r="D593" s="4">
        <v>5</v>
      </c>
      <c r="E593" s="12" t="s">
        <v>31</v>
      </c>
      <c r="F593" s="4">
        <v>2024</v>
      </c>
      <c r="G593" s="4" t="s">
        <v>32</v>
      </c>
      <c r="H593" s="4" t="s">
        <v>33</v>
      </c>
      <c r="I593" s="4" t="s">
        <v>167</v>
      </c>
      <c r="J593" s="4" t="s">
        <v>35</v>
      </c>
      <c r="K593" s="4" t="s">
        <v>244</v>
      </c>
      <c r="L593" s="4" t="s">
        <v>39</v>
      </c>
      <c r="M593" s="4" t="s">
        <v>37</v>
      </c>
      <c r="N593" s="4" t="s">
        <v>192</v>
      </c>
      <c r="O593" s="4">
        <v>0</v>
      </c>
      <c r="P593" s="4">
        <v>202</v>
      </c>
    </row>
    <row r="594" spans="1:19" ht="42.45" hidden="1" x14ac:dyDescent="0.35">
      <c r="A594" s="4" t="s">
        <v>45</v>
      </c>
      <c r="C594" s="4">
        <v>1120</v>
      </c>
      <c r="D594" s="4">
        <v>5</v>
      </c>
      <c r="E594" s="12" t="s">
        <v>31</v>
      </c>
      <c r="F594" s="4">
        <v>2024</v>
      </c>
      <c r="G594" s="4" t="s">
        <v>32</v>
      </c>
      <c r="H594" s="4" t="s">
        <v>50</v>
      </c>
      <c r="I594" s="4" t="s">
        <v>35</v>
      </c>
      <c r="K594" s="4" t="s">
        <v>244</v>
      </c>
      <c r="L594" s="6" t="s">
        <v>48</v>
      </c>
      <c r="M594" s="4" t="s">
        <v>37</v>
      </c>
      <c r="N594" s="4" t="s">
        <v>38</v>
      </c>
      <c r="O594" s="4">
        <f>ROUND(P594*S594/100,0)</f>
        <v>50</v>
      </c>
      <c r="P594" s="4">
        <v>202</v>
      </c>
      <c r="S594" s="4">
        <v>24.8</v>
      </c>
    </row>
    <row r="595" spans="1:19" hidden="1" x14ac:dyDescent="0.35">
      <c r="A595" s="4" t="s">
        <v>45</v>
      </c>
      <c r="C595" s="4">
        <v>1120</v>
      </c>
      <c r="D595" s="4">
        <v>5</v>
      </c>
      <c r="E595" s="12" t="s">
        <v>31</v>
      </c>
      <c r="F595" s="4">
        <v>2024</v>
      </c>
      <c r="G595" s="4" t="s">
        <v>32</v>
      </c>
      <c r="H595" s="4" t="s">
        <v>50</v>
      </c>
      <c r="I595" s="4" t="s">
        <v>35</v>
      </c>
      <c r="K595" s="4" t="s">
        <v>244</v>
      </c>
      <c r="L595" s="4" t="s">
        <v>168</v>
      </c>
      <c r="M595" s="4" t="s">
        <v>37</v>
      </c>
      <c r="N595" s="4" t="s">
        <v>192</v>
      </c>
      <c r="O595" s="4">
        <f>ROUND(P595*S595/100,0)</f>
        <v>2</v>
      </c>
      <c r="P595" s="4">
        <v>202</v>
      </c>
      <c r="S595" s="4">
        <v>1</v>
      </c>
    </row>
    <row r="596" spans="1:19" hidden="1" x14ac:dyDescent="0.35">
      <c r="A596" s="4" t="s">
        <v>45</v>
      </c>
      <c r="C596" s="4">
        <v>1010</v>
      </c>
      <c r="D596" s="4">
        <v>6</v>
      </c>
      <c r="E596" s="12" t="s">
        <v>40</v>
      </c>
      <c r="F596" s="4">
        <v>2024</v>
      </c>
      <c r="G596" s="4" t="s">
        <v>32</v>
      </c>
      <c r="H596" s="4" t="s">
        <v>33</v>
      </c>
      <c r="I596" s="4" t="s">
        <v>116</v>
      </c>
      <c r="J596" s="4" t="s">
        <v>35</v>
      </c>
      <c r="K596" s="4" t="s">
        <v>244</v>
      </c>
      <c r="L596" s="4" t="s">
        <v>91</v>
      </c>
      <c r="M596" s="4" t="s">
        <v>37</v>
      </c>
      <c r="N596" s="4" t="s">
        <v>42</v>
      </c>
      <c r="O596" s="4">
        <v>35</v>
      </c>
      <c r="P596" s="4">
        <v>226</v>
      </c>
    </row>
    <row r="597" spans="1:19" hidden="1" x14ac:dyDescent="0.35">
      <c r="A597" s="4" t="s">
        <v>45</v>
      </c>
      <c r="C597" s="4">
        <v>1010</v>
      </c>
      <c r="D597" s="4">
        <v>6</v>
      </c>
      <c r="E597" s="12" t="s">
        <v>40</v>
      </c>
      <c r="F597" s="4">
        <v>2024</v>
      </c>
      <c r="G597" s="4" t="s">
        <v>32</v>
      </c>
      <c r="H597" s="4" t="s">
        <v>33</v>
      </c>
      <c r="I597" s="4" t="s">
        <v>116</v>
      </c>
      <c r="J597" s="4" t="s">
        <v>35</v>
      </c>
      <c r="K597" s="4" t="s">
        <v>244</v>
      </c>
      <c r="L597" s="4" t="s">
        <v>91</v>
      </c>
      <c r="M597" s="4" t="s">
        <v>37</v>
      </c>
      <c r="N597" s="4" t="s">
        <v>192</v>
      </c>
      <c r="O597" s="4">
        <v>18</v>
      </c>
      <c r="P597" s="4">
        <v>226</v>
      </c>
    </row>
    <row r="598" spans="1:19" hidden="1" x14ac:dyDescent="0.35">
      <c r="A598" s="4" t="s">
        <v>45</v>
      </c>
      <c r="C598" s="4">
        <v>1010</v>
      </c>
      <c r="D598" s="4">
        <v>6</v>
      </c>
      <c r="E598" s="12" t="s">
        <v>40</v>
      </c>
      <c r="F598" s="4">
        <v>2024</v>
      </c>
      <c r="G598" s="4" t="s">
        <v>32</v>
      </c>
      <c r="H598" s="4" t="s">
        <v>33</v>
      </c>
      <c r="I598" s="4" t="s">
        <v>119</v>
      </c>
      <c r="J598" s="4" t="s">
        <v>35</v>
      </c>
      <c r="K598" s="4" t="s">
        <v>244</v>
      </c>
      <c r="L598" s="4" t="s">
        <v>91</v>
      </c>
      <c r="M598" s="4" t="s">
        <v>37</v>
      </c>
      <c r="N598" s="4" t="s">
        <v>42</v>
      </c>
      <c r="O598" s="4">
        <v>4</v>
      </c>
      <c r="P598" s="4">
        <v>226</v>
      </c>
    </row>
    <row r="599" spans="1:19" hidden="1" x14ac:dyDescent="0.35">
      <c r="A599" s="4" t="s">
        <v>45</v>
      </c>
      <c r="C599" s="4">
        <v>1010</v>
      </c>
      <c r="D599" s="4">
        <v>6</v>
      </c>
      <c r="E599" s="12" t="s">
        <v>40</v>
      </c>
      <c r="F599" s="4">
        <v>2024</v>
      </c>
      <c r="G599" s="4" t="s">
        <v>32</v>
      </c>
      <c r="H599" s="4" t="s">
        <v>33</v>
      </c>
      <c r="I599" s="4" t="s">
        <v>119</v>
      </c>
      <c r="J599" s="4" t="s">
        <v>35</v>
      </c>
      <c r="K599" s="4" t="s">
        <v>244</v>
      </c>
      <c r="L599" s="4" t="s">
        <v>91</v>
      </c>
      <c r="M599" s="4" t="s">
        <v>37</v>
      </c>
      <c r="N599" s="4" t="s">
        <v>192</v>
      </c>
      <c r="O599" s="4">
        <v>2</v>
      </c>
      <c r="P599" s="4">
        <v>226</v>
      </c>
    </row>
    <row r="600" spans="1:19" hidden="1" x14ac:dyDescent="0.35">
      <c r="A600" s="4" t="s">
        <v>45</v>
      </c>
      <c r="C600" s="4">
        <v>1010</v>
      </c>
      <c r="D600" s="4">
        <v>6</v>
      </c>
      <c r="E600" s="12" t="s">
        <v>40</v>
      </c>
      <c r="F600" s="4">
        <v>2024</v>
      </c>
      <c r="G600" s="4" t="s">
        <v>32</v>
      </c>
      <c r="H600" s="4" t="s">
        <v>33</v>
      </c>
      <c r="I600" s="4" t="s">
        <v>115</v>
      </c>
      <c r="J600" s="4" t="s">
        <v>35</v>
      </c>
      <c r="K600" s="4" t="s">
        <v>244</v>
      </c>
      <c r="L600" s="4" t="s">
        <v>91</v>
      </c>
      <c r="M600" s="4" t="s">
        <v>37</v>
      </c>
      <c r="N600" s="4" t="s">
        <v>42</v>
      </c>
      <c r="O600" s="4">
        <v>29</v>
      </c>
      <c r="P600" s="4">
        <v>226</v>
      </c>
    </row>
    <row r="601" spans="1:19" hidden="1" x14ac:dyDescent="0.35">
      <c r="A601" s="4" t="s">
        <v>45</v>
      </c>
      <c r="C601" s="4">
        <v>1010</v>
      </c>
      <c r="D601" s="4">
        <v>6</v>
      </c>
      <c r="E601" s="12" t="s">
        <v>40</v>
      </c>
      <c r="F601" s="4">
        <v>2024</v>
      </c>
      <c r="G601" s="4" t="s">
        <v>32</v>
      </c>
      <c r="H601" s="4" t="s">
        <v>33</v>
      </c>
      <c r="I601" s="4" t="s">
        <v>115</v>
      </c>
      <c r="J601" s="4" t="s">
        <v>35</v>
      </c>
      <c r="K601" s="4" t="s">
        <v>244</v>
      </c>
      <c r="L601" s="4" t="s">
        <v>91</v>
      </c>
      <c r="M601" s="4" t="s">
        <v>37</v>
      </c>
      <c r="N601" s="4" t="s">
        <v>192</v>
      </c>
      <c r="O601" s="4">
        <v>21</v>
      </c>
      <c r="P601" s="4">
        <v>226</v>
      </c>
    </row>
    <row r="602" spans="1:19" hidden="1" x14ac:dyDescent="0.35">
      <c r="A602" s="4" t="s">
        <v>45</v>
      </c>
      <c r="C602" s="4">
        <v>1010</v>
      </c>
      <c r="D602" s="4">
        <v>6</v>
      </c>
      <c r="E602" s="12" t="s">
        <v>40</v>
      </c>
      <c r="F602" s="4">
        <v>2024</v>
      </c>
      <c r="G602" s="4" t="s">
        <v>32</v>
      </c>
      <c r="H602" s="4" t="s">
        <v>33</v>
      </c>
      <c r="I602" s="4" t="s">
        <v>169</v>
      </c>
      <c r="J602" s="4" t="s">
        <v>35</v>
      </c>
      <c r="K602" s="4" t="s">
        <v>244</v>
      </c>
      <c r="L602" s="4" t="s">
        <v>91</v>
      </c>
      <c r="M602" s="4" t="s">
        <v>37</v>
      </c>
      <c r="N602" s="4" t="s">
        <v>42</v>
      </c>
      <c r="O602" s="4">
        <v>12</v>
      </c>
      <c r="P602" s="4">
        <v>226</v>
      </c>
    </row>
    <row r="603" spans="1:19" hidden="1" x14ac:dyDescent="0.35">
      <c r="A603" s="4" t="s">
        <v>45</v>
      </c>
      <c r="C603" s="4">
        <v>1010</v>
      </c>
      <c r="D603" s="4">
        <v>6</v>
      </c>
      <c r="E603" s="12" t="s">
        <v>40</v>
      </c>
      <c r="F603" s="4">
        <v>2024</v>
      </c>
      <c r="G603" s="4" t="s">
        <v>32</v>
      </c>
      <c r="H603" s="4" t="s">
        <v>33</v>
      </c>
      <c r="I603" s="4" t="s">
        <v>169</v>
      </c>
      <c r="J603" s="4" t="s">
        <v>35</v>
      </c>
      <c r="K603" s="4" t="s">
        <v>244</v>
      </c>
      <c r="L603" s="4" t="s">
        <v>91</v>
      </c>
      <c r="M603" s="4" t="s">
        <v>37</v>
      </c>
      <c r="N603" s="4" t="s">
        <v>192</v>
      </c>
      <c r="O603" s="4">
        <v>4</v>
      </c>
      <c r="P603" s="4">
        <v>226</v>
      </c>
    </row>
    <row r="604" spans="1:19" hidden="1" x14ac:dyDescent="0.35">
      <c r="A604" s="4" t="s">
        <v>45</v>
      </c>
      <c r="C604" s="4">
        <v>1010</v>
      </c>
      <c r="D604" s="4">
        <v>6</v>
      </c>
      <c r="E604" s="12" t="s">
        <v>40</v>
      </c>
      <c r="F604" s="4">
        <v>2024</v>
      </c>
      <c r="G604" s="4" t="s">
        <v>32</v>
      </c>
      <c r="H604" s="4" t="s">
        <v>33</v>
      </c>
      <c r="I604" s="4" t="s">
        <v>128</v>
      </c>
      <c r="J604" s="4" t="s">
        <v>35</v>
      </c>
      <c r="K604" s="4" t="s">
        <v>244</v>
      </c>
      <c r="L604" s="4" t="s">
        <v>91</v>
      </c>
      <c r="M604" s="4" t="s">
        <v>37</v>
      </c>
      <c r="N604" s="4" t="s">
        <v>42</v>
      </c>
      <c r="O604" s="4">
        <v>2</v>
      </c>
      <c r="P604" s="4">
        <v>226</v>
      </c>
      <c r="S604" s="4" t="s">
        <v>102</v>
      </c>
    </row>
    <row r="605" spans="1:19" hidden="1" x14ac:dyDescent="0.35">
      <c r="A605" s="4" t="s">
        <v>45</v>
      </c>
      <c r="C605" s="4">
        <v>1010</v>
      </c>
      <c r="D605" s="4">
        <v>6</v>
      </c>
      <c r="E605" s="12" t="s">
        <v>40</v>
      </c>
      <c r="F605" s="4">
        <v>2024</v>
      </c>
      <c r="G605" s="4" t="s">
        <v>32</v>
      </c>
      <c r="H605" s="4" t="s">
        <v>33</v>
      </c>
      <c r="I605" s="4" t="s">
        <v>128</v>
      </c>
      <c r="J605" s="4" t="s">
        <v>35</v>
      </c>
      <c r="K605" s="4" t="s">
        <v>244</v>
      </c>
      <c r="L605" s="4" t="s">
        <v>91</v>
      </c>
      <c r="M605" s="4" t="s">
        <v>37</v>
      </c>
      <c r="N605" s="4" t="s">
        <v>192</v>
      </c>
      <c r="O605" s="4">
        <v>2</v>
      </c>
      <c r="P605" s="4">
        <v>226</v>
      </c>
      <c r="S605" s="4" t="s">
        <v>102</v>
      </c>
    </row>
    <row r="606" spans="1:19" hidden="1" x14ac:dyDescent="0.35">
      <c r="A606" s="4" t="s">
        <v>45</v>
      </c>
      <c r="C606" s="4">
        <v>1010</v>
      </c>
      <c r="D606" s="4">
        <v>6</v>
      </c>
      <c r="E606" s="12" t="s">
        <v>40</v>
      </c>
      <c r="F606" s="4">
        <v>2024</v>
      </c>
      <c r="G606" s="4" t="s">
        <v>32</v>
      </c>
      <c r="H606" s="4" t="s">
        <v>33</v>
      </c>
      <c r="I606" s="4" t="s">
        <v>130</v>
      </c>
      <c r="J606" s="4" t="s">
        <v>35</v>
      </c>
      <c r="K606" s="4" t="s">
        <v>244</v>
      </c>
      <c r="L606" s="4" t="s">
        <v>91</v>
      </c>
      <c r="M606" s="4" t="s">
        <v>41</v>
      </c>
      <c r="N606" s="4" t="s">
        <v>42</v>
      </c>
      <c r="O606" s="4">
        <v>177</v>
      </c>
      <c r="P606" s="4">
        <v>226</v>
      </c>
    </row>
    <row r="607" spans="1:19" hidden="1" x14ac:dyDescent="0.35">
      <c r="A607" s="4" t="s">
        <v>45</v>
      </c>
      <c r="C607" s="4">
        <v>1010</v>
      </c>
      <c r="D607" s="4">
        <v>6</v>
      </c>
      <c r="E607" s="12" t="s">
        <v>40</v>
      </c>
      <c r="F607" s="4">
        <v>2024</v>
      </c>
      <c r="G607" s="4" t="s">
        <v>32</v>
      </c>
      <c r="H607" s="4" t="s">
        <v>33</v>
      </c>
      <c r="I607" s="4" t="s">
        <v>130</v>
      </c>
      <c r="J607" s="4" t="s">
        <v>35</v>
      </c>
      <c r="K607" s="4" t="s">
        <v>244</v>
      </c>
      <c r="L607" s="4" t="s">
        <v>91</v>
      </c>
      <c r="M607" s="4" t="s">
        <v>41</v>
      </c>
      <c r="N607" s="4" t="s">
        <v>192</v>
      </c>
      <c r="O607" s="4">
        <v>176</v>
      </c>
      <c r="P607" s="4">
        <v>226</v>
      </c>
    </row>
    <row r="608" spans="1:19" hidden="1" x14ac:dyDescent="0.35">
      <c r="A608" s="4" t="s">
        <v>45</v>
      </c>
      <c r="C608" s="4">
        <v>1010</v>
      </c>
      <c r="D608" s="4">
        <v>6</v>
      </c>
      <c r="E608" s="12" t="s">
        <v>40</v>
      </c>
      <c r="F608" s="4">
        <v>2024</v>
      </c>
      <c r="G608" s="4" t="s">
        <v>32</v>
      </c>
      <c r="H608" s="4" t="s">
        <v>33</v>
      </c>
      <c r="I608" s="4" t="s">
        <v>130</v>
      </c>
      <c r="J608" s="4" t="s">
        <v>35</v>
      </c>
      <c r="K608" s="4" t="s">
        <v>244</v>
      </c>
      <c r="L608" s="4" t="s">
        <v>39</v>
      </c>
      <c r="M608" s="4" t="s">
        <v>41</v>
      </c>
      <c r="N608" s="4" t="s">
        <v>42</v>
      </c>
      <c r="O608" s="4">
        <v>138</v>
      </c>
      <c r="P608" s="4">
        <v>226</v>
      </c>
    </row>
    <row r="609" spans="1:16" hidden="1" x14ac:dyDescent="0.35">
      <c r="A609" s="4" t="s">
        <v>45</v>
      </c>
      <c r="C609" s="4">
        <v>1010</v>
      </c>
      <c r="D609" s="4">
        <v>6</v>
      </c>
      <c r="E609" s="12" t="s">
        <v>40</v>
      </c>
      <c r="F609" s="4">
        <v>2024</v>
      </c>
      <c r="G609" s="4" t="s">
        <v>32</v>
      </c>
      <c r="H609" s="4" t="s">
        <v>33</v>
      </c>
      <c r="I609" s="4" t="s">
        <v>130</v>
      </c>
      <c r="J609" s="4" t="s">
        <v>35</v>
      </c>
      <c r="K609" s="4" t="s">
        <v>244</v>
      </c>
      <c r="L609" s="4" t="s">
        <v>39</v>
      </c>
      <c r="M609" s="4" t="s">
        <v>41</v>
      </c>
      <c r="N609" s="4" t="s">
        <v>192</v>
      </c>
      <c r="O609" s="4">
        <v>134</v>
      </c>
      <c r="P609" s="4">
        <v>226</v>
      </c>
    </row>
    <row r="610" spans="1:16" hidden="1" x14ac:dyDescent="0.35">
      <c r="A610" s="4" t="s">
        <v>45</v>
      </c>
      <c r="C610" s="4">
        <v>1010</v>
      </c>
      <c r="D610" s="4">
        <v>6</v>
      </c>
      <c r="E610" s="12" t="s">
        <v>40</v>
      </c>
      <c r="F610" s="4">
        <v>2024</v>
      </c>
      <c r="G610" s="4" t="s">
        <v>32</v>
      </c>
      <c r="H610" s="4" t="s">
        <v>33</v>
      </c>
      <c r="I610" s="4" t="s">
        <v>132</v>
      </c>
      <c r="J610" s="4" t="s">
        <v>35</v>
      </c>
      <c r="K610" s="4" t="s">
        <v>244</v>
      </c>
      <c r="L610" s="4" t="s">
        <v>91</v>
      </c>
      <c r="M610" s="4" t="s">
        <v>41</v>
      </c>
      <c r="N610" s="4" t="s">
        <v>42</v>
      </c>
      <c r="O610" s="4">
        <v>143</v>
      </c>
      <c r="P610" s="4">
        <v>226</v>
      </c>
    </row>
    <row r="611" spans="1:16" hidden="1" x14ac:dyDescent="0.35">
      <c r="A611" s="4" t="s">
        <v>45</v>
      </c>
      <c r="C611" s="4">
        <v>1010</v>
      </c>
      <c r="D611" s="4">
        <v>6</v>
      </c>
      <c r="E611" s="12" t="s">
        <v>40</v>
      </c>
      <c r="F611" s="4">
        <v>2024</v>
      </c>
      <c r="G611" s="4" t="s">
        <v>32</v>
      </c>
      <c r="H611" s="4" t="s">
        <v>33</v>
      </c>
      <c r="I611" s="4" t="s">
        <v>132</v>
      </c>
      <c r="J611" s="4" t="s">
        <v>35</v>
      </c>
      <c r="K611" s="4" t="s">
        <v>244</v>
      </c>
      <c r="L611" s="4" t="s">
        <v>91</v>
      </c>
      <c r="M611" s="4" t="s">
        <v>41</v>
      </c>
      <c r="N611" s="4" t="s">
        <v>192</v>
      </c>
      <c r="O611" s="4">
        <v>152</v>
      </c>
      <c r="P611" s="4">
        <v>226</v>
      </c>
    </row>
    <row r="612" spans="1:16" hidden="1" x14ac:dyDescent="0.35">
      <c r="A612" s="4" t="s">
        <v>45</v>
      </c>
      <c r="C612" s="4">
        <v>1010</v>
      </c>
      <c r="D612" s="4">
        <v>6</v>
      </c>
      <c r="E612" s="12" t="s">
        <v>40</v>
      </c>
      <c r="F612" s="4">
        <v>2024</v>
      </c>
      <c r="G612" s="4" t="s">
        <v>32</v>
      </c>
      <c r="H612" s="4" t="s">
        <v>33</v>
      </c>
      <c r="I612" s="4" t="s">
        <v>132</v>
      </c>
      <c r="J612" s="4" t="s">
        <v>35</v>
      </c>
      <c r="K612" s="4" t="s">
        <v>244</v>
      </c>
      <c r="L612" s="4" t="s">
        <v>39</v>
      </c>
      <c r="M612" s="4" t="s">
        <v>41</v>
      </c>
      <c r="N612" s="4" t="s">
        <v>42</v>
      </c>
      <c r="O612" s="4">
        <v>38</v>
      </c>
      <c r="P612" s="4">
        <v>226</v>
      </c>
    </row>
    <row r="613" spans="1:16" hidden="1" x14ac:dyDescent="0.35">
      <c r="A613" s="4" t="s">
        <v>45</v>
      </c>
      <c r="C613" s="4">
        <v>1010</v>
      </c>
      <c r="D613" s="4">
        <v>6</v>
      </c>
      <c r="E613" s="12" t="s">
        <v>40</v>
      </c>
      <c r="F613" s="4">
        <v>2024</v>
      </c>
      <c r="G613" s="4" t="s">
        <v>32</v>
      </c>
      <c r="H613" s="4" t="s">
        <v>33</v>
      </c>
      <c r="I613" s="4" t="s">
        <v>132</v>
      </c>
      <c r="J613" s="4" t="s">
        <v>35</v>
      </c>
      <c r="K613" s="4" t="s">
        <v>244</v>
      </c>
      <c r="L613" s="4" t="s">
        <v>39</v>
      </c>
      <c r="M613" s="4" t="s">
        <v>41</v>
      </c>
      <c r="N613" s="4" t="s">
        <v>192</v>
      </c>
      <c r="O613" s="4">
        <v>32</v>
      </c>
      <c r="P613" s="4">
        <v>226</v>
      </c>
    </row>
    <row r="614" spans="1:16" hidden="1" x14ac:dyDescent="0.35">
      <c r="A614" s="4" t="s">
        <v>45</v>
      </c>
      <c r="C614" s="4">
        <v>1010</v>
      </c>
      <c r="D614" s="4">
        <v>6</v>
      </c>
      <c r="E614" s="12" t="s">
        <v>40</v>
      </c>
      <c r="F614" s="4">
        <v>2024</v>
      </c>
      <c r="G614" s="4" t="s">
        <v>32</v>
      </c>
      <c r="H614" s="4" t="s">
        <v>33</v>
      </c>
      <c r="I614" s="4" t="s">
        <v>34</v>
      </c>
      <c r="J614" s="4" t="s">
        <v>35</v>
      </c>
      <c r="K614" s="4" t="s">
        <v>244</v>
      </c>
      <c r="L614" s="4" t="s">
        <v>91</v>
      </c>
      <c r="M614" s="4" t="s">
        <v>41</v>
      </c>
      <c r="N614" s="4" t="s">
        <v>42</v>
      </c>
      <c r="O614" s="4">
        <v>106</v>
      </c>
      <c r="P614" s="4">
        <v>226</v>
      </c>
    </row>
    <row r="615" spans="1:16" hidden="1" x14ac:dyDescent="0.35">
      <c r="A615" s="4" t="s">
        <v>45</v>
      </c>
      <c r="C615" s="4">
        <v>1010</v>
      </c>
      <c r="D615" s="4">
        <v>6</v>
      </c>
      <c r="E615" s="12" t="s">
        <v>40</v>
      </c>
      <c r="F615" s="4">
        <v>2024</v>
      </c>
      <c r="G615" s="4" t="s">
        <v>32</v>
      </c>
      <c r="H615" s="4" t="s">
        <v>33</v>
      </c>
      <c r="I615" s="4" t="s">
        <v>34</v>
      </c>
      <c r="J615" s="4" t="s">
        <v>35</v>
      </c>
      <c r="K615" s="4" t="s">
        <v>244</v>
      </c>
      <c r="L615" s="4" t="s">
        <v>91</v>
      </c>
      <c r="M615" s="4" t="s">
        <v>41</v>
      </c>
      <c r="N615" s="4" t="s">
        <v>192</v>
      </c>
      <c r="O615" s="4">
        <v>118</v>
      </c>
      <c r="P615" s="4">
        <v>226</v>
      </c>
    </row>
    <row r="616" spans="1:16" hidden="1" x14ac:dyDescent="0.35">
      <c r="A616" s="4" t="s">
        <v>45</v>
      </c>
      <c r="C616" s="4">
        <v>1010</v>
      </c>
      <c r="D616" s="4">
        <v>6</v>
      </c>
      <c r="E616" s="12" t="s">
        <v>40</v>
      </c>
      <c r="F616" s="4">
        <v>2024</v>
      </c>
      <c r="G616" s="4" t="s">
        <v>32</v>
      </c>
      <c r="H616" s="4" t="s">
        <v>33</v>
      </c>
      <c r="I616" s="4" t="s">
        <v>131</v>
      </c>
      <c r="J616" s="4" t="s">
        <v>35</v>
      </c>
      <c r="K616" s="4" t="s">
        <v>244</v>
      </c>
      <c r="L616" s="4" t="s">
        <v>91</v>
      </c>
      <c r="M616" s="4" t="s">
        <v>41</v>
      </c>
      <c r="N616" s="4" t="s">
        <v>42</v>
      </c>
      <c r="O616" s="4">
        <v>91</v>
      </c>
      <c r="P616" s="4">
        <v>226</v>
      </c>
    </row>
    <row r="617" spans="1:16" hidden="1" x14ac:dyDescent="0.35">
      <c r="A617" s="4" t="s">
        <v>45</v>
      </c>
      <c r="C617" s="4">
        <v>1010</v>
      </c>
      <c r="D617" s="4">
        <v>6</v>
      </c>
      <c r="E617" s="12" t="s">
        <v>40</v>
      </c>
      <c r="F617" s="4">
        <v>2024</v>
      </c>
      <c r="G617" s="4" t="s">
        <v>32</v>
      </c>
      <c r="H617" s="4" t="s">
        <v>33</v>
      </c>
      <c r="I617" s="4" t="s">
        <v>131</v>
      </c>
      <c r="J617" s="4" t="s">
        <v>35</v>
      </c>
      <c r="K617" s="4" t="s">
        <v>244</v>
      </c>
      <c r="L617" s="4" t="s">
        <v>91</v>
      </c>
      <c r="M617" s="4" t="s">
        <v>41</v>
      </c>
      <c r="N617" s="4" t="s">
        <v>192</v>
      </c>
      <c r="O617" s="4">
        <v>96</v>
      </c>
      <c r="P617" s="4">
        <v>226</v>
      </c>
    </row>
    <row r="618" spans="1:16" hidden="1" x14ac:dyDescent="0.35">
      <c r="A618" s="4" t="s">
        <v>45</v>
      </c>
      <c r="C618" s="4">
        <v>1010</v>
      </c>
      <c r="D618" s="4">
        <v>6</v>
      </c>
      <c r="E618" s="12" t="s">
        <v>40</v>
      </c>
      <c r="F618" s="4">
        <v>2024</v>
      </c>
      <c r="G618" s="4" t="s">
        <v>32</v>
      </c>
      <c r="H618" s="4" t="s">
        <v>33</v>
      </c>
      <c r="I618" s="4" t="s">
        <v>131</v>
      </c>
      <c r="J618" s="4" t="s">
        <v>35</v>
      </c>
      <c r="K618" s="4" t="s">
        <v>244</v>
      </c>
      <c r="L618" s="4" t="s">
        <v>39</v>
      </c>
      <c r="M618" s="4" t="s">
        <v>41</v>
      </c>
      <c r="N618" s="4" t="s">
        <v>42</v>
      </c>
      <c r="O618" s="4">
        <v>11</v>
      </c>
      <c r="P618" s="4">
        <v>226</v>
      </c>
    </row>
    <row r="619" spans="1:16" hidden="1" x14ac:dyDescent="0.35">
      <c r="A619" s="4" t="s">
        <v>45</v>
      </c>
      <c r="C619" s="4">
        <v>1010</v>
      </c>
      <c r="D619" s="4">
        <v>6</v>
      </c>
      <c r="E619" s="12" t="s">
        <v>40</v>
      </c>
      <c r="F619" s="4">
        <v>2024</v>
      </c>
      <c r="G619" s="4" t="s">
        <v>32</v>
      </c>
      <c r="H619" s="4" t="s">
        <v>33</v>
      </c>
      <c r="I619" s="4" t="s">
        <v>131</v>
      </c>
      <c r="J619" s="4" t="s">
        <v>35</v>
      </c>
      <c r="K619" s="4" t="s">
        <v>244</v>
      </c>
      <c r="L619" s="4" t="s">
        <v>39</v>
      </c>
      <c r="M619" s="4" t="s">
        <v>41</v>
      </c>
      <c r="N619" s="4" t="s">
        <v>192</v>
      </c>
      <c r="O619" s="4">
        <v>15</v>
      </c>
      <c r="P619" s="4">
        <v>226</v>
      </c>
    </row>
    <row r="620" spans="1:16" hidden="1" x14ac:dyDescent="0.35">
      <c r="A620" s="4" t="s">
        <v>45</v>
      </c>
      <c r="C620" s="4">
        <v>1010</v>
      </c>
      <c r="D620" s="4">
        <v>6</v>
      </c>
      <c r="E620" s="12" t="s">
        <v>40</v>
      </c>
      <c r="F620" s="4">
        <v>2024</v>
      </c>
      <c r="G620" s="4" t="s">
        <v>32</v>
      </c>
      <c r="H620" s="4" t="s">
        <v>33</v>
      </c>
      <c r="I620" s="4" t="s">
        <v>139</v>
      </c>
      <c r="J620" s="4" t="s">
        <v>35</v>
      </c>
      <c r="K620" s="4" t="s">
        <v>244</v>
      </c>
      <c r="L620" s="4" t="s">
        <v>91</v>
      </c>
      <c r="M620" s="4" t="s">
        <v>41</v>
      </c>
      <c r="N620" s="4" t="s">
        <v>42</v>
      </c>
      <c r="O620" s="4">
        <v>65</v>
      </c>
      <c r="P620" s="4">
        <v>226</v>
      </c>
    </row>
    <row r="621" spans="1:16" hidden="1" x14ac:dyDescent="0.35">
      <c r="A621" s="4" t="s">
        <v>45</v>
      </c>
      <c r="C621" s="4">
        <v>1010</v>
      </c>
      <c r="D621" s="4">
        <v>6</v>
      </c>
      <c r="E621" s="12" t="s">
        <v>40</v>
      </c>
      <c r="F621" s="4">
        <v>2024</v>
      </c>
      <c r="G621" s="4" t="s">
        <v>32</v>
      </c>
      <c r="H621" s="4" t="s">
        <v>33</v>
      </c>
      <c r="I621" s="4" t="s">
        <v>139</v>
      </c>
      <c r="J621" s="4" t="s">
        <v>35</v>
      </c>
      <c r="K621" s="4" t="s">
        <v>244</v>
      </c>
      <c r="L621" s="4" t="s">
        <v>91</v>
      </c>
      <c r="M621" s="4" t="s">
        <v>41</v>
      </c>
      <c r="N621" s="4" t="s">
        <v>192</v>
      </c>
      <c r="O621" s="4">
        <v>48</v>
      </c>
      <c r="P621" s="4">
        <v>226</v>
      </c>
    </row>
    <row r="622" spans="1:16" hidden="1" x14ac:dyDescent="0.35">
      <c r="A622" s="4" t="s">
        <v>45</v>
      </c>
      <c r="C622" s="4">
        <v>1010</v>
      </c>
      <c r="D622" s="4">
        <v>6</v>
      </c>
      <c r="E622" s="12" t="s">
        <v>40</v>
      </c>
      <c r="F622" s="4">
        <v>2024</v>
      </c>
      <c r="G622" s="4" t="s">
        <v>32</v>
      </c>
      <c r="H622" s="4" t="s">
        <v>33</v>
      </c>
      <c r="I622" s="4" t="s">
        <v>139</v>
      </c>
      <c r="J622" s="4" t="s">
        <v>35</v>
      </c>
      <c r="K622" s="4" t="s">
        <v>244</v>
      </c>
      <c r="L622" s="4" t="s">
        <v>39</v>
      </c>
      <c r="M622" s="4" t="s">
        <v>41</v>
      </c>
      <c r="N622" s="4" t="s">
        <v>42</v>
      </c>
      <c r="O622" s="4">
        <v>2</v>
      </c>
      <c r="P622" s="4">
        <v>226</v>
      </c>
    </row>
    <row r="623" spans="1:16" hidden="1" x14ac:dyDescent="0.35">
      <c r="A623" s="4" t="s">
        <v>45</v>
      </c>
      <c r="C623" s="4">
        <v>1010</v>
      </c>
      <c r="D623" s="4">
        <v>6</v>
      </c>
      <c r="E623" s="12" t="s">
        <v>40</v>
      </c>
      <c r="F623" s="4">
        <v>2024</v>
      </c>
      <c r="G623" s="4" t="s">
        <v>32</v>
      </c>
      <c r="H623" s="4" t="s">
        <v>33</v>
      </c>
      <c r="I623" s="4" t="s">
        <v>139</v>
      </c>
      <c r="J623" s="4" t="s">
        <v>35</v>
      </c>
      <c r="K623" s="4" t="s">
        <v>244</v>
      </c>
      <c r="L623" s="4" t="s">
        <v>39</v>
      </c>
      <c r="M623" s="4" t="s">
        <v>41</v>
      </c>
      <c r="N623" s="4" t="s">
        <v>192</v>
      </c>
      <c r="O623" s="4">
        <v>1</v>
      </c>
      <c r="P623" s="4">
        <v>226</v>
      </c>
    </row>
    <row r="624" spans="1:16" hidden="1" x14ac:dyDescent="0.35">
      <c r="A624" s="4" t="s">
        <v>45</v>
      </c>
      <c r="C624" s="4">
        <v>1010</v>
      </c>
      <c r="D624" s="4">
        <v>6</v>
      </c>
      <c r="E624" s="12" t="s">
        <v>40</v>
      </c>
      <c r="F624" s="4">
        <v>2024</v>
      </c>
      <c r="G624" s="4" t="s">
        <v>32</v>
      </c>
      <c r="H624" s="4" t="s">
        <v>33</v>
      </c>
      <c r="I624" s="4" t="s">
        <v>129</v>
      </c>
      <c r="J624" s="4" t="s">
        <v>35</v>
      </c>
      <c r="K624" s="4" t="s">
        <v>244</v>
      </c>
      <c r="L624" s="4" t="s">
        <v>91</v>
      </c>
      <c r="M624" s="4" t="s">
        <v>41</v>
      </c>
      <c r="N624" s="4" t="s">
        <v>42</v>
      </c>
      <c r="O624" s="4">
        <v>60</v>
      </c>
      <c r="P624" s="4">
        <v>226</v>
      </c>
    </row>
    <row r="625" spans="1:16" hidden="1" x14ac:dyDescent="0.35">
      <c r="A625" s="4" t="s">
        <v>45</v>
      </c>
      <c r="C625" s="4">
        <v>1010</v>
      </c>
      <c r="D625" s="4">
        <v>6</v>
      </c>
      <c r="E625" s="12" t="s">
        <v>40</v>
      </c>
      <c r="F625" s="4">
        <v>2024</v>
      </c>
      <c r="G625" s="4" t="s">
        <v>32</v>
      </c>
      <c r="H625" s="4" t="s">
        <v>33</v>
      </c>
      <c r="I625" s="4" t="s">
        <v>129</v>
      </c>
      <c r="J625" s="4" t="s">
        <v>35</v>
      </c>
      <c r="K625" s="4" t="s">
        <v>244</v>
      </c>
      <c r="L625" s="4" t="s">
        <v>91</v>
      </c>
      <c r="M625" s="4" t="s">
        <v>41</v>
      </c>
      <c r="N625" s="4" t="s">
        <v>192</v>
      </c>
      <c r="O625" s="4">
        <v>59</v>
      </c>
      <c r="P625" s="4">
        <v>226</v>
      </c>
    </row>
    <row r="626" spans="1:16" hidden="1" x14ac:dyDescent="0.35">
      <c r="A626" s="4" t="s">
        <v>45</v>
      </c>
      <c r="C626" s="4">
        <v>1010</v>
      </c>
      <c r="D626" s="4">
        <v>6</v>
      </c>
      <c r="E626" s="12" t="s">
        <v>40</v>
      </c>
      <c r="F626" s="4">
        <v>2024</v>
      </c>
      <c r="G626" s="4" t="s">
        <v>32</v>
      </c>
      <c r="H626" s="4" t="s">
        <v>33</v>
      </c>
      <c r="I626" s="4" t="s">
        <v>129</v>
      </c>
      <c r="J626" s="4" t="s">
        <v>35</v>
      </c>
      <c r="K626" s="4" t="s">
        <v>244</v>
      </c>
      <c r="L626" s="4" t="s">
        <v>39</v>
      </c>
      <c r="M626" s="4" t="s">
        <v>41</v>
      </c>
      <c r="N626" s="4" t="s">
        <v>42</v>
      </c>
      <c r="O626" s="4">
        <v>1</v>
      </c>
      <c r="P626" s="4">
        <v>226</v>
      </c>
    </row>
    <row r="627" spans="1:16" hidden="1" x14ac:dyDescent="0.35">
      <c r="A627" s="4" t="s">
        <v>45</v>
      </c>
      <c r="C627" s="4">
        <v>1010</v>
      </c>
      <c r="D627" s="4">
        <v>6</v>
      </c>
      <c r="E627" s="12" t="s">
        <v>40</v>
      </c>
      <c r="F627" s="4">
        <v>2024</v>
      </c>
      <c r="G627" s="4" t="s">
        <v>32</v>
      </c>
      <c r="H627" s="4" t="s">
        <v>33</v>
      </c>
      <c r="I627" s="4" t="s">
        <v>129</v>
      </c>
      <c r="J627" s="4" t="s">
        <v>35</v>
      </c>
      <c r="K627" s="4" t="s">
        <v>244</v>
      </c>
      <c r="L627" s="4" t="s">
        <v>39</v>
      </c>
      <c r="M627" s="4" t="s">
        <v>41</v>
      </c>
      <c r="N627" s="4" t="s">
        <v>192</v>
      </c>
      <c r="O627" s="4">
        <v>0</v>
      </c>
      <c r="P627" s="4">
        <v>226</v>
      </c>
    </row>
    <row r="628" spans="1:16" hidden="1" x14ac:dyDescent="0.35">
      <c r="A628" s="4" t="s">
        <v>45</v>
      </c>
      <c r="C628" s="4">
        <v>1010</v>
      </c>
      <c r="D628" s="4">
        <v>6</v>
      </c>
      <c r="E628" s="12" t="s">
        <v>40</v>
      </c>
      <c r="F628" s="4">
        <v>2024</v>
      </c>
      <c r="G628" s="4" t="s">
        <v>32</v>
      </c>
      <c r="H628" s="4" t="s">
        <v>33</v>
      </c>
      <c r="I628" s="4" t="s">
        <v>170</v>
      </c>
      <c r="J628" s="4" t="s">
        <v>35</v>
      </c>
      <c r="K628" s="4" t="s">
        <v>244</v>
      </c>
      <c r="L628" s="4" t="s">
        <v>91</v>
      </c>
      <c r="M628" s="4" t="s">
        <v>41</v>
      </c>
      <c r="N628" s="4" t="s">
        <v>42</v>
      </c>
      <c r="O628" s="4">
        <v>53</v>
      </c>
      <c r="P628" s="4">
        <v>226</v>
      </c>
    </row>
    <row r="629" spans="1:16" hidden="1" x14ac:dyDescent="0.35">
      <c r="A629" s="4" t="s">
        <v>45</v>
      </c>
      <c r="C629" s="4">
        <v>1010</v>
      </c>
      <c r="D629" s="4">
        <v>6</v>
      </c>
      <c r="E629" s="12" t="s">
        <v>40</v>
      </c>
      <c r="F629" s="4">
        <v>2024</v>
      </c>
      <c r="G629" s="4" t="s">
        <v>32</v>
      </c>
      <c r="H629" s="4" t="s">
        <v>33</v>
      </c>
      <c r="I629" s="4" t="s">
        <v>170</v>
      </c>
      <c r="J629" s="4" t="s">
        <v>35</v>
      </c>
      <c r="K629" s="4" t="s">
        <v>244</v>
      </c>
      <c r="L629" s="4" t="s">
        <v>91</v>
      </c>
      <c r="M629" s="4" t="s">
        <v>41</v>
      </c>
      <c r="N629" s="4" t="s">
        <v>192</v>
      </c>
      <c r="O629" s="4">
        <v>38</v>
      </c>
      <c r="P629" s="4">
        <v>226</v>
      </c>
    </row>
    <row r="630" spans="1:16" hidden="1" x14ac:dyDescent="0.35">
      <c r="A630" s="4" t="s">
        <v>45</v>
      </c>
      <c r="C630" s="4">
        <v>1010</v>
      </c>
      <c r="D630" s="4">
        <v>6</v>
      </c>
      <c r="E630" s="12" t="s">
        <v>40</v>
      </c>
      <c r="F630" s="4">
        <v>2024</v>
      </c>
      <c r="G630" s="4" t="s">
        <v>32</v>
      </c>
      <c r="H630" s="4" t="s">
        <v>33</v>
      </c>
      <c r="I630" s="4" t="s">
        <v>170</v>
      </c>
      <c r="J630" s="4" t="s">
        <v>35</v>
      </c>
      <c r="K630" s="4" t="s">
        <v>244</v>
      </c>
      <c r="L630" s="4" t="s">
        <v>39</v>
      </c>
      <c r="M630" s="4" t="s">
        <v>41</v>
      </c>
      <c r="N630" s="4" t="s">
        <v>42</v>
      </c>
      <c r="O630" s="4">
        <v>2</v>
      </c>
      <c r="P630" s="4">
        <v>226</v>
      </c>
    </row>
    <row r="631" spans="1:16" hidden="1" x14ac:dyDescent="0.35">
      <c r="A631" s="4" t="s">
        <v>45</v>
      </c>
      <c r="C631" s="4">
        <v>1010</v>
      </c>
      <c r="D631" s="4">
        <v>6</v>
      </c>
      <c r="E631" s="12" t="s">
        <v>40</v>
      </c>
      <c r="F631" s="4">
        <v>2024</v>
      </c>
      <c r="G631" s="4" t="s">
        <v>32</v>
      </c>
      <c r="H631" s="4" t="s">
        <v>33</v>
      </c>
      <c r="I631" s="4" t="s">
        <v>170</v>
      </c>
      <c r="J631" s="4" t="s">
        <v>35</v>
      </c>
      <c r="K631" s="4" t="s">
        <v>244</v>
      </c>
      <c r="L631" s="4" t="s">
        <v>39</v>
      </c>
      <c r="M631" s="4" t="s">
        <v>41</v>
      </c>
      <c r="N631" s="4" t="s">
        <v>192</v>
      </c>
      <c r="O631" s="4">
        <v>0</v>
      </c>
      <c r="P631" s="4">
        <v>226</v>
      </c>
    </row>
    <row r="632" spans="1:16" hidden="1" x14ac:dyDescent="0.35">
      <c r="A632" s="4" t="s">
        <v>45</v>
      </c>
      <c r="C632" s="4">
        <v>1010</v>
      </c>
      <c r="D632" s="4">
        <v>6</v>
      </c>
      <c r="E632" s="12" t="s">
        <v>40</v>
      </c>
      <c r="F632" s="4">
        <v>2024</v>
      </c>
      <c r="G632" s="4" t="s">
        <v>32</v>
      </c>
      <c r="H632" s="4" t="s">
        <v>33</v>
      </c>
      <c r="I632" s="4" t="s">
        <v>136</v>
      </c>
      <c r="J632" s="4" t="s">
        <v>35</v>
      </c>
      <c r="K632" s="4" t="s">
        <v>244</v>
      </c>
      <c r="L632" s="4" t="s">
        <v>91</v>
      </c>
      <c r="M632" s="4" t="s">
        <v>41</v>
      </c>
      <c r="N632" s="4" t="s">
        <v>42</v>
      </c>
      <c r="O632" s="4">
        <v>47</v>
      </c>
      <c r="P632" s="4">
        <v>226</v>
      </c>
    </row>
    <row r="633" spans="1:16" hidden="1" x14ac:dyDescent="0.35">
      <c r="A633" s="4" t="s">
        <v>45</v>
      </c>
      <c r="C633" s="4">
        <v>1010</v>
      </c>
      <c r="D633" s="4">
        <v>6</v>
      </c>
      <c r="E633" s="12" t="s">
        <v>40</v>
      </c>
      <c r="F633" s="4">
        <v>2024</v>
      </c>
      <c r="G633" s="4" t="s">
        <v>32</v>
      </c>
      <c r="H633" s="4" t="s">
        <v>33</v>
      </c>
      <c r="I633" s="4" t="s">
        <v>136</v>
      </c>
      <c r="J633" s="4" t="s">
        <v>35</v>
      </c>
      <c r="K633" s="4" t="s">
        <v>244</v>
      </c>
      <c r="L633" s="4" t="s">
        <v>91</v>
      </c>
      <c r="M633" s="4" t="s">
        <v>41</v>
      </c>
      <c r="N633" s="4" t="s">
        <v>192</v>
      </c>
      <c r="O633" s="4">
        <v>49</v>
      </c>
      <c r="P633" s="4">
        <v>226</v>
      </c>
    </row>
    <row r="634" spans="1:16" hidden="1" x14ac:dyDescent="0.35">
      <c r="A634" s="4" t="s">
        <v>45</v>
      </c>
      <c r="C634" s="4">
        <v>1010</v>
      </c>
      <c r="D634" s="4">
        <v>6</v>
      </c>
      <c r="E634" s="12" t="s">
        <v>40</v>
      </c>
      <c r="F634" s="4">
        <v>2024</v>
      </c>
      <c r="G634" s="4" t="s">
        <v>32</v>
      </c>
      <c r="H634" s="4" t="s">
        <v>33</v>
      </c>
      <c r="I634" s="4" t="s">
        <v>136</v>
      </c>
      <c r="J634" s="4" t="s">
        <v>35</v>
      </c>
      <c r="K634" s="4" t="s">
        <v>244</v>
      </c>
      <c r="L634" s="4" t="s">
        <v>39</v>
      </c>
      <c r="M634" s="4" t="s">
        <v>41</v>
      </c>
      <c r="N634" s="4" t="s">
        <v>42</v>
      </c>
      <c r="O634" s="4">
        <v>5</v>
      </c>
      <c r="P634" s="4">
        <v>226</v>
      </c>
    </row>
    <row r="635" spans="1:16" hidden="1" x14ac:dyDescent="0.35">
      <c r="A635" s="4" t="s">
        <v>45</v>
      </c>
      <c r="C635" s="4">
        <v>1010</v>
      </c>
      <c r="D635" s="4">
        <v>6</v>
      </c>
      <c r="E635" s="12" t="s">
        <v>40</v>
      </c>
      <c r="F635" s="4">
        <v>2024</v>
      </c>
      <c r="G635" s="4" t="s">
        <v>32</v>
      </c>
      <c r="H635" s="4" t="s">
        <v>33</v>
      </c>
      <c r="I635" s="4" t="s">
        <v>136</v>
      </c>
      <c r="J635" s="4" t="s">
        <v>35</v>
      </c>
      <c r="K635" s="4" t="s">
        <v>244</v>
      </c>
      <c r="L635" s="4" t="s">
        <v>39</v>
      </c>
      <c r="M635" s="4" t="s">
        <v>41</v>
      </c>
      <c r="N635" s="4" t="s">
        <v>192</v>
      </c>
      <c r="O635" s="4">
        <v>6</v>
      </c>
      <c r="P635" s="4">
        <v>226</v>
      </c>
    </row>
    <row r="636" spans="1:16" hidden="1" x14ac:dyDescent="0.35">
      <c r="A636" s="4" t="s">
        <v>45</v>
      </c>
      <c r="C636" s="4">
        <v>1010</v>
      </c>
      <c r="D636" s="4">
        <v>6</v>
      </c>
      <c r="E636" s="12" t="s">
        <v>40</v>
      </c>
      <c r="F636" s="4">
        <v>2024</v>
      </c>
      <c r="G636" s="4" t="s">
        <v>32</v>
      </c>
      <c r="H636" s="4" t="s">
        <v>33</v>
      </c>
      <c r="I636" s="4" t="s">
        <v>171</v>
      </c>
      <c r="J636" s="4" t="s">
        <v>35</v>
      </c>
      <c r="K636" s="4" t="s">
        <v>244</v>
      </c>
      <c r="L636" s="4" t="s">
        <v>91</v>
      </c>
      <c r="M636" s="4" t="s">
        <v>41</v>
      </c>
      <c r="N636" s="4" t="s">
        <v>42</v>
      </c>
      <c r="O636" s="4">
        <v>44</v>
      </c>
      <c r="P636" s="4">
        <v>226</v>
      </c>
    </row>
    <row r="637" spans="1:16" hidden="1" x14ac:dyDescent="0.35">
      <c r="A637" s="4" t="s">
        <v>45</v>
      </c>
      <c r="C637" s="4">
        <v>1010</v>
      </c>
      <c r="D637" s="4">
        <v>6</v>
      </c>
      <c r="E637" s="12" t="s">
        <v>40</v>
      </c>
      <c r="F637" s="4">
        <v>2024</v>
      </c>
      <c r="G637" s="4" t="s">
        <v>32</v>
      </c>
      <c r="H637" s="4" t="s">
        <v>33</v>
      </c>
      <c r="I637" s="4" t="s">
        <v>171</v>
      </c>
      <c r="J637" s="4" t="s">
        <v>35</v>
      </c>
      <c r="K637" s="4" t="s">
        <v>244</v>
      </c>
      <c r="L637" s="4" t="s">
        <v>91</v>
      </c>
      <c r="M637" s="4" t="s">
        <v>41</v>
      </c>
      <c r="N637" s="4" t="s">
        <v>192</v>
      </c>
      <c r="O637" s="4">
        <v>47</v>
      </c>
      <c r="P637" s="4">
        <v>226</v>
      </c>
    </row>
    <row r="638" spans="1:16" hidden="1" x14ac:dyDescent="0.35">
      <c r="A638" s="4" t="s">
        <v>45</v>
      </c>
      <c r="C638" s="4">
        <v>1010</v>
      </c>
      <c r="D638" s="4">
        <v>6</v>
      </c>
      <c r="E638" s="12" t="s">
        <v>40</v>
      </c>
      <c r="F638" s="4">
        <v>2024</v>
      </c>
      <c r="G638" s="4" t="s">
        <v>32</v>
      </c>
      <c r="H638" s="4" t="s">
        <v>33</v>
      </c>
      <c r="I638" s="4" t="s">
        <v>171</v>
      </c>
      <c r="J638" s="4" t="s">
        <v>35</v>
      </c>
      <c r="K638" s="4" t="s">
        <v>244</v>
      </c>
      <c r="L638" s="4" t="s">
        <v>39</v>
      </c>
      <c r="M638" s="4" t="s">
        <v>41</v>
      </c>
      <c r="N638" s="4" t="s">
        <v>42</v>
      </c>
      <c r="O638" s="4">
        <v>0</v>
      </c>
      <c r="P638" s="4">
        <v>226</v>
      </c>
    </row>
    <row r="639" spans="1:16" hidden="1" x14ac:dyDescent="0.35">
      <c r="A639" s="4" t="s">
        <v>45</v>
      </c>
      <c r="C639" s="4">
        <v>1010</v>
      </c>
      <c r="D639" s="4">
        <v>6</v>
      </c>
      <c r="E639" s="12" t="s">
        <v>40</v>
      </c>
      <c r="F639" s="4">
        <v>2024</v>
      </c>
      <c r="G639" s="4" t="s">
        <v>32</v>
      </c>
      <c r="H639" s="4" t="s">
        <v>33</v>
      </c>
      <c r="I639" s="4" t="s">
        <v>171</v>
      </c>
      <c r="J639" s="4" t="s">
        <v>35</v>
      </c>
      <c r="K639" s="4" t="s">
        <v>244</v>
      </c>
      <c r="L639" s="4" t="s">
        <v>39</v>
      </c>
      <c r="M639" s="4" t="s">
        <v>41</v>
      </c>
      <c r="N639" s="4" t="s">
        <v>192</v>
      </c>
      <c r="O639" s="4">
        <v>0</v>
      </c>
      <c r="P639" s="4">
        <v>226</v>
      </c>
    </row>
    <row r="640" spans="1:16" hidden="1" x14ac:dyDescent="0.35">
      <c r="A640" s="4" t="s">
        <v>45</v>
      </c>
      <c r="C640" s="4">
        <v>1010</v>
      </c>
      <c r="D640" s="4">
        <v>6</v>
      </c>
      <c r="E640" s="12" t="s">
        <v>40</v>
      </c>
      <c r="F640" s="4">
        <v>2024</v>
      </c>
      <c r="G640" s="4" t="s">
        <v>32</v>
      </c>
      <c r="H640" s="4" t="s">
        <v>33</v>
      </c>
      <c r="I640" s="4" t="s">
        <v>134</v>
      </c>
      <c r="J640" s="4" t="s">
        <v>35</v>
      </c>
      <c r="K640" s="4" t="s">
        <v>244</v>
      </c>
      <c r="L640" s="4" t="s">
        <v>91</v>
      </c>
      <c r="M640" s="4" t="s">
        <v>41</v>
      </c>
      <c r="N640" s="4" t="s">
        <v>42</v>
      </c>
      <c r="O640" s="4">
        <v>40</v>
      </c>
      <c r="P640" s="4">
        <v>226</v>
      </c>
    </row>
    <row r="641" spans="1:16" hidden="1" x14ac:dyDescent="0.35">
      <c r="A641" s="4" t="s">
        <v>45</v>
      </c>
      <c r="C641" s="4">
        <v>1010</v>
      </c>
      <c r="D641" s="4">
        <v>6</v>
      </c>
      <c r="E641" s="12" t="s">
        <v>40</v>
      </c>
      <c r="F641" s="4">
        <v>2024</v>
      </c>
      <c r="G641" s="4" t="s">
        <v>32</v>
      </c>
      <c r="H641" s="4" t="s">
        <v>33</v>
      </c>
      <c r="I641" s="4" t="s">
        <v>134</v>
      </c>
      <c r="J641" s="4" t="s">
        <v>35</v>
      </c>
      <c r="K641" s="4" t="s">
        <v>244</v>
      </c>
      <c r="L641" s="4" t="s">
        <v>91</v>
      </c>
      <c r="M641" s="4" t="s">
        <v>41</v>
      </c>
      <c r="N641" s="4" t="s">
        <v>192</v>
      </c>
      <c r="O641" s="4">
        <v>47</v>
      </c>
      <c r="P641" s="4">
        <v>226</v>
      </c>
    </row>
    <row r="642" spans="1:16" hidden="1" x14ac:dyDescent="0.35">
      <c r="A642" s="4" t="s">
        <v>45</v>
      </c>
      <c r="C642" s="4">
        <v>1010</v>
      </c>
      <c r="D642" s="4">
        <v>6</v>
      </c>
      <c r="E642" s="12" t="s">
        <v>40</v>
      </c>
      <c r="F642" s="4">
        <v>2024</v>
      </c>
      <c r="G642" s="4" t="s">
        <v>32</v>
      </c>
      <c r="H642" s="4" t="s">
        <v>33</v>
      </c>
      <c r="I642" s="4" t="s">
        <v>134</v>
      </c>
      <c r="J642" s="4" t="s">
        <v>35</v>
      </c>
      <c r="K642" s="4" t="s">
        <v>244</v>
      </c>
      <c r="L642" s="4" t="s">
        <v>39</v>
      </c>
      <c r="M642" s="4" t="s">
        <v>41</v>
      </c>
      <c r="N642" s="4" t="s">
        <v>42</v>
      </c>
      <c r="O642" s="4">
        <v>1</v>
      </c>
      <c r="P642" s="4">
        <v>226</v>
      </c>
    </row>
    <row r="643" spans="1:16" hidden="1" x14ac:dyDescent="0.35">
      <c r="A643" s="4" t="s">
        <v>45</v>
      </c>
      <c r="C643" s="4">
        <v>1010</v>
      </c>
      <c r="D643" s="4">
        <v>6</v>
      </c>
      <c r="E643" s="12" t="s">
        <v>40</v>
      </c>
      <c r="F643" s="4">
        <v>2024</v>
      </c>
      <c r="G643" s="4" t="s">
        <v>32</v>
      </c>
      <c r="H643" s="4" t="s">
        <v>33</v>
      </c>
      <c r="I643" s="4" t="s">
        <v>134</v>
      </c>
      <c r="J643" s="4" t="s">
        <v>35</v>
      </c>
      <c r="K643" s="4" t="s">
        <v>244</v>
      </c>
      <c r="L643" s="4" t="s">
        <v>39</v>
      </c>
      <c r="M643" s="4" t="s">
        <v>41</v>
      </c>
      <c r="N643" s="4" t="s">
        <v>192</v>
      </c>
      <c r="O643" s="4">
        <v>0</v>
      </c>
      <c r="P643" s="4">
        <v>226</v>
      </c>
    </row>
    <row r="644" spans="1:16" hidden="1" x14ac:dyDescent="0.35">
      <c r="A644" s="4" t="s">
        <v>45</v>
      </c>
      <c r="C644" s="4">
        <v>1010</v>
      </c>
      <c r="D644" s="4">
        <v>6</v>
      </c>
      <c r="E644" s="12" t="s">
        <v>40</v>
      </c>
      <c r="F644" s="4">
        <v>2024</v>
      </c>
      <c r="G644" s="4" t="s">
        <v>32</v>
      </c>
      <c r="H644" s="4" t="s">
        <v>33</v>
      </c>
      <c r="I644" s="4" t="s">
        <v>140</v>
      </c>
      <c r="J644" s="4" t="s">
        <v>35</v>
      </c>
      <c r="K644" s="4" t="s">
        <v>244</v>
      </c>
      <c r="L644" s="4" t="s">
        <v>91</v>
      </c>
      <c r="M644" s="4" t="s">
        <v>41</v>
      </c>
      <c r="N644" s="4" t="s">
        <v>42</v>
      </c>
      <c r="O644" s="4">
        <v>32</v>
      </c>
      <c r="P644" s="4">
        <v>226</v>
      </c>
    </row>
    <row r="645" spans="1:16" hidden="1" x14ac:dyDescent="0.35">
      <c r="A645" s="4" t="s">
        <v>45</v>
      </c>
      <c r="C645" s="4">
        <v>1010</v>
      </c>
      <c r="D645" s="4">
        <v>6</v>
      </c>
      <c r="E645" s="12" t="s">
        <v>40</v>
      </c>
      <c r="F645" s="4">
        <v>2024</v>
      </c>
      <c r="G645" s="4" t="s">
        <v>32</v>
      </c>
      <c r="H645" s="4" t="s">
        <v>33</v>
      </c>
      <c r="I645" s="4" t="s">
        <v>140</v>
      </c>
      <c r="J645" s="4" t="s">
        <v>35</v>
      </c>
      <c r="K645" s="4" t="s">
        <v>244</v>
      </c>
      <c r="L645" s="4" t="s">
        <v>91</v>
      </c>
      <c r="M645" s="4" t="s">
        <v>41</v>
      </c>
      <c r="N645" s="4" t="s">
        <v>192</v>
      </c>
      <c r="O645" s="4">
        <v>22</v>
      </c>
      <c r="P645" s="4">
        <v>226</v>
      </c>
    </row>
    <row r="646" spans="1:16" hidden="1" x14ac:dyDescent="0.35">
      <c r="A646" s="4" t="s">
        <v>45</v>
      </c>
      <c r="C646" s="4">
        <v>1010</v>
      </c>
      <c r="D646" s="4">
        <v>6</v>
      </c>
      <c r="E646" s="12" t="s">
        <v>40</v>
      </c>
      <c r="F646" s="4">
        <v>2024</v>
      </c>
      <c r="G646" s="4" t="s">
        <v>32</v>
      </c>
      <c r="H646" s="4" t="s">
        <v>33</v>
      </c>
      <c r="I646" s="4" t="s">
        <v>140</v>
      </c>
      <c r="J646" s="4" t="s">
        <v>35</v>
      </c>
      <c r="K646" s="4" t="s">
        <v>244</v>
      </c>
      <c r="L646" s="4" t="s">
        <v>39</v>
      </c>
      <c r="M646" s="4" t="s">
        <v>41</v>
      </c>
      <c r="N646" s="4" t="s">
        <v>42</v>
      </c>
      <c r="O646" s="4">
        <v>4</v>
      </c>
      <c r="P646" s="4">
        <v>226</v>
      </c>
    </row>
    <row r="647" spans="1:16" hidden="1" x14ac:dyDescent="0.35">
      <c r="A647" s="4" t="s">
        <v>45</v>
      </c>
      <c r="C647" s="4">
        <v>1010</v>
      </c>
      <c r="D647" s="4">
        <v>6</v>
      </c>
      <c r="E647" s="12" t="s">
        <v>40</v>
      </c>
      <c r="F647" s="4">
        <v>2024</v>
      </c>
      <c r="G647" s="4" t="s">
        <v>32</v>
      </c>
      <c r="H647" s="4" t="s">
        <v>33</v>
      </c>
      <c r="I647" s="4" t="s">
        <v>140</v>
      </c>
      <c r="J647" s="4" t="s">
        <v>35</v>
      </c>
      <c r="K647" s="4" t="s">
        <v>244</v>
      </c>
      <c r="L647" s="4" t="s">
        <v>39</v>
      </c>
      <c r="M647" s="4" t="s">
        <v>41</v>
      </c>
      <c r="N647" s="4" t="s">
        <v>192</v>
      </c>
      <c r="O647" s="4">
        <v>0</v>
      </c>
      <c r="P647" s="4">
        <v>226</v>
      </c>
    </row>
    <row r="648" spans="1:16" hidden="1" x14ac:dyDescent="0.35">
      <c r="A648" s="4" t="s">
        <v>45</v>
      </c>
      <c r="C648" s="4">
        <v>1010</v>
      </c>
      <c r="D648" s="4">
        <v>6</v>
      </c>
      <c r="E648" s="12" t="s">
        <v>40</v>
      </c>
      <c r="F648" s="4">
        <v>2024</v>
      </c>
      <c r="G648" s="4" t="s">
        <v>32</v>
      </c>
      <c r="H648" s="4" t="s">
        <v>33</v>
      </c>
      <c r="I648" s="4" t="s">
        <v>155</v>
      </c>
      <c r="J648" s="4" t="s">
        <v>35</v>
      </c>
      <c r="K648" s="4" t="s">
        <v>244</v>
      </c>
      <c r="L648" s="4" t="s">
        <v>91</v>
      </c>
      <c r="M648" s="4" t="s">
        <v>41</v>
      </c>
      <c r="N648" s="4" t="s">
        <v>42</v>
      </c>
      <c r="O648" s="4">
        <v>31</v>
      </c>
      <c r="P648" s="4">
        <v>226</v>
      </c>
    </row>
    <row r="649" spans="1:16" hidden="1" x14ac:dyDescent="0.35">
      <c r="A649" s="4" t="s">
        <v>45</v>
      </c>
      <c r="C649" s="4">
        <v>1010</v>
      </c>
      <c r="D649" s="4">
        <v>6</v>
      </c>
      <c r="E649" s="12" t="s">
        <v>40</v>
      </c>
      <c r="F649" s="4">
        <v>2024</v>
      </c>
      <c r="G649" s="4" t="s">
        <v>32</v>
      </c>
      <c r="H649" s="4" t="s">
        <v>33</v>
      </c>
      <c r="I649" s="4" t="s">
        <v>155</v>
      </c>
      <c r="J649" s="4" t="s">
        <v>35</v>
      </c>
      <c r="K649" s="4" t="s">
        <v>244</v>
      </c>
      <c r="L649" s="4" t="s">
        <v>91</v>
      </c>
      <c r="M649" s="4" t="s">
        <v>41</v>
      </c>
      <c r="N649" s="4" t="s">
        <v>192</v>
      </c>
      <c r="O649" s="4">
        <v>5</v>
      </c>
      <c r="P649" s="4">
        <v>226</v>
      </c>
    </row>
    <row r="650" spans="1:16" hidden="1" x14ac:dyDescent="0.35">
      <c r="A650" s="4" t="s">
        <v>45</v>
      </c>
      <c r="C650" s="4">
        <v>1010</v>
      </c>
      <c r="D650" s="4">
        <v>6</v>
      </c>
      <c r="E650" s="12" t="s">
        <v>40</v>
      </c>
      <c r="F650" s="4">
        <v>2024</v>
      </c>
      <c r="G650" s="4" t="s">
        <v>32</v>
      </c>
      <c r="H650" s="4" t="s">
        <v>33</v>
      </c>
      <c r="I650" s="4" t="s">
        <v>155</v>
      </c>
      <c r="J650" s="4" t="s">
        <v>35</v>
      </c>
      <c r="K650" s="4" t="s">
        <v>244</v>
      </c>
      <c r="L650" s="4" t="s">
        <v>39</v>
      </c>
      <c r="M650" s="4" t="s">
        <v>41</v>
      </c>
      <c r="N650" s="4" t="s">
        <v>42</v>
      </c>
      <c r="O650" s="4">
        <v>2</v>
      </c>
      <c r="P650" s="4">
        <v>226</v>
      </c>
    </row>
    <row r="651" spans="1:16" hidden="1" x14ac:dyDescent="0.35">
      <c r="A651" s="4" t="s">
        <v>45</v>
      </c>
      <c r="C651" s="4">
        <v>1010</v>
      </c>
      <c r="D651" s="4">
        <v>6</v>
      </c>
      <c r="E651" s="12" t="s">
        <v>40</v>
      </c>
      <c r="F651" s="4">
        <v>2024</v>
      </c>
      <c r="G651" s="4" t="s">
        <v>32</v>
      </c>
      <c r="H651" s="4" t="s">
        <v>33</v>
      </c>
      <c r="I651" s="4" t="s">
        <v>155</v>
      </c>
      <c r="J651" s="4" t="s">
        <v>35</v>
      </c>
      <c r="K651" s="4" t="s">
        <v>244</v>
      </c>
      <c r="L651" s="4" t="s">
        <v>39</v>
      </c>
      <c r="M651" s="4" t="s">
        <v>41</v>
      </c>
      <c r="N651" s="4" t="s">
        <v>192</v>
      </c>
      <c r="O651" s="4">
        <v>0</v>
      </c>
      <c r="P651" s="4">
        <v>226</v>
      </c>
    </row>
    <row r="652" spans="1:16" hidden="1" x14ac:dyDescent="0.35">
      <c r="A652" s="4" t="s">
        <v>45</v>
      </c>
      <c r="C652" s="4">
        <v>1010</v>
      </c>
      <c r="D652" s="4">
        <v>6</v>
      </c>
      <c r="E652" s="12" t="s">
        <v>40</v>
      </c>
      <c r="F652" s="4">
        <v>2024</v>
      </c>
      <c r="G652" s="4" t="s">
        <v>32</v>
      </c>
      <c r="H652" s="4" t="s">
        <v>33</v>
      </c>
      <c r="I652" s="4" t="s">
        <v>172</v>
      </c>
      <c r="J652" s="4" t="s">
        <v>35</v>
      </c>
      <c r="K652" s="4" t="s">
        <v>244</v>
      </c>
      <c r="L652" s="4" t="s">
        <v>91</v>
      </c>
      <c r="M652" s="4" t="s">
        <v>41</v>
      </c>
      <c r="N652" s="4" t="s">
        <v>42</v>
      </c>
      <c r="O652" s="4">
        <v>30</v>
      </c>
      <c r="P652" s="4">
        <v>226</v>
      </c>
    </row>
    <row r="653" spans="1:16" hidden="1" x14ac:dyDescent="0.35">
      <c r="A653" s="4" t="s">
        <v>45</v>
      </c>
      <c r="C653" s="4">
        <v>1010</v>
      </c>
      <c r="D653" s="4">
        <v>6</v>
      </c>
      <c r="E653" s="12" t="s">
        <v>40</v>
      </c>
      <c r="F653" s="4">
        <v>2024</v>
      </c>
      <c r="G653" s="4" t="s">
        <v>32</v>
      </c>
      <c r="H653" s="4" t="s">
        <v>33</v>
      </c>
      <c r="I653" s="4" t="s">
        <v>172</v>
      </c>
      <c r="J653" s="4" t="s">
        <v>35</v>
      </c>
      <c r="K653" s="4" t="s">
        <v>244</v>
      </c>
      <c r="L653" s="4" t="s">
        <v>91</v>
      </c>
      <c r="M653" s="4" t="s">
        <v>41</v>
      </c>
      <c r="N653" s="4" t="s">
        <v>192</v>
      </c>
      <c r="O653" s="4">
        <v>35</v>
      </c>
      <c r="P653" s="4">
        <v>226</v>
      </c>
    </row>
    <row r="654" spans="1:16" hidden="1" x14ac:dyDescent="0.35">
      <c r="A654" s="4" t="s">
        <v>45</v>
      </c>
      <c r="C654" s="4">
        <v>1010</v>
      </c>
      <c r="D654" s="4">
        <v>6</v>
      </c>
      <c r="E654" s="12" t="s">
        <v>40</v>
      </c>
      <c r="F654" s="4">
        <v>2024</v>
      </c>
      <c r="G654" s="4" t="s">
        <v>32</v>
      </c>
      <c r="H654" s="4" t="s">
        <v>33</v>
      </c>
      <c r="I654" s="4" t="s">
        <v>172</v>
      </c>
      <c r="J654" s="4" t="s">
        <v>35</v>
      </c>
      <c r="K654" s="4" t="s">
        <v>244</v>
      </c>
      <c r="L654" s="4" t="s">
        <v>39</v>
      </c>
      <c r="M654" s="4" t="s">
        <v>41</v>
      </c>
      <c r="N654" s="4" t="s">
        <v>42</v>
      </c>
      <c r="O654" s="4">
        <v>1</v>
      </c>
      <c r="P654" s="4">
        <v>226</v>
      </c>
    </row>
    <row r="655" spans="1:16" hidden="1" x14ac:dyDescent="0.35">
      <c r="A655" s="4" t="s">
        <v>45</v>
      </c>
      <c r="C655" s="4">
        <v>1010</v>
      </c>
      <c r="D655" s="4">
        <v>6</v>
      </c>
      <c r="E655" s="12" t="s">
        <v>40</v>
      </c>
      <c r="F655" s="4">
        <v>2024</v>
      </c>
      <c r="G655" s="4" t="s">
        <v>32</v>
      </c>
      <c r="H655" s="4" t="s">
        <v>33</v>
      </c>
      <c r="I655" s="4" t="s">
        <v>172</v>
      </c>
      <c r="J655" s="4" t="s">
        <v>35</v>
      </c>
      <c r="K655" s="4" t="s">
        <v>244</v>
      </c>
      <c r="L655" s="4" t="s">
        <v>39</v>
      </c>
      <c r="M655" s="4" t="s">
        <v>41</v>
      </c>
      <c r="N655" s="4" t="s">
        <v>192</v>
      </c>
      <c r="O655" s="4">
        <v>0</v>
      </c>
      <c r="P655" s="4">
        <v>226</v>
      </c>
    </row>
    <row r="656" spans="1:16" hidden="1" x14ac:dyDescent="0.35">
      <c r="A656" s="4" t="s">
        <v>45</v>
      </c>
      <c r="C656" s="4">
        <v>1010</v>
      </c>
      <c r="D656" s="4">
        <v>6</v>
      </c>
      <c r="E656" s="12" t="s">
        <v>40</v>
      </c>
      <c r="F656" s="4">
        <v>2024</v>
      </c>
      <c r="G656" s="4" t="s">
        <v>32</v>
      </c>
      <c r="H656" s="4" t="s">
        <v>33</v>
      </c>
      <c r="I656" s="4" t="s">
        <v>137</v>
      </c>
      <c r="J656" s="4" t="s">
        <v>35</v>
      </c>
      <c r="K656" s="4" t="s">
        <v>244</v>
      </c>
      <c r="L656" s="4" t="s">
        <v>91</v>
      </c>
      <c r="M656" s="4" t="s">
        <v>41</v>
      </c>
      <c r="N656" s="4" t="s">
        <v>42</v>
      </c>
      <c r="O656" s="4">
        <v>28</v>
      </c>
      <c r="P656" s="4">
        <v>226</v>
      </c>
    </row>
    <row r="657" spans="1:16" hidden="1" x14ac:dyDescent="0.35">
      <c r="A657" s="4" t="s">
        <v>45</v>
      </c>
      <c r="C657" s="4">
        <v>1010</v>
      </c>
      <c r="D657" s="4">
        <v>6</v>
      </c>
      <c r="E657" s="12" t="s">
        <v>40</v>
      </c>
      <c r="F657" s="4">
        <v>2024</v>
      </c>
      <c r="G657" s="4" t="s">
        <v>32</v>
      </c>
      <c r="H657" s="4" t="s">
        <v>33</v>
      </c>
      <c r="I657" s="4" t="s">
        <v>137</v>
      </c>
      <c r="J657" s="4" t="s">
        <v>35</v>
      </c>
      <c r="K657" s="4" t="s">
        <v>244</v>
      </c>
      <c r="L657" s="4" t="s">
        <v>91</v>
      </c>
      <c r="M657" s="4" t="s">
        <v>41</v>
      </c>
      <c r="N657" s="4" t="s">
        <v>192</v>
      </c>
      <c r="O657" s="4">
        <v>26</v>
      </c>
      <c r="P657" s="4">
        <v>226</v>
      </c>
    </row>
    <row r="658" spans="1:16" hidden="1" x14ac:dyDescent="0.35">
      <c r="A658" s="4" t="s">
        <v>45</v>
      </c>
      <c r="C658" s="4">
        <v>1010</v>
      </c>
      <c r="D658" s="4">
        <v>6</v>
      </c>
      <c r="E658" s="12" t="s">
        <v>40</v>
      </c>
      <c r="F658" s="4">
        <v>2024</v>
      </c>
      <c r="G658" s="4" t="s">
        <v>32</v>
      </c>
      <c r="H658" s="4" t="s">
        <v>33</v>
      </c>
      <c r="I658" s="4" t="s">
        <v>137</v>
      </c>
      <c r="J658" s="4" t="s">
        <v>35</v>
      </c>
      <c r="K658" s="4" t="s">
        <v>244</v>
      </c>
      <c r="L658" s="4" t="s">
        <v>39</v>
      </c>
      <c r="M658" s="4" t="s">
        <v>41</v>
      </c>
      <c r="N658" s="4" t="s">
        <v>42</v>
      </c>
      <c r="O658" s="4">
        <v>0</v>
      </c>
      <c r="P658" s="4">
        <v>226</v>
      </c>
    </row>
    <row r="659" spans="1:16" hidden="1" x14ac:dyDescent="0.35">
      <c r="A659" s="4" t="s">
        <v>45</v>
      </c>
      <c r="C659" s="4">
        <v>1010</v>
      </c>
      <c r="D659" s="4">
        <v>6</v>
      </c>
      <c r="E659" s="12" t="s">
        <v>40</v>
      </c>
      <c r="F659" s="4">
        <v>2024</v>
      </c>
      <c r="G659" s="4" t="s">
        <v>32</v>
      </c>
      <c r="H659" s="4" t="s">
        <v>33</v>
      </c>
      <c r="I659" s="4" t="s">
        <v>137</v>
      </c>
      <c r="J659" s="4" t="s">
        <v>35</v>
      </c>
      <c r="K659" s="4" t="s">
        <v>244</v>
      </c>
      <c r="L659" s="4" t="s">
        <v>39</v>
      </c>
      <c r="M659" s="4" t="s">
        <v>41</v>
      </c>
      <c r="N659" s="4" t="s">
        <v>192</v>
      </c>
      <c r="O659" s="4">
        <v>0</v>
      </c>
      <c r="P659" s="4">
        <v>226</v>
      </c>
    </row>
    <row r="660" spans="1:16" hidden="1" x14ac:dyDescent="0.35">
      <c r="A660" s="4" t="s">
        <v>45</v>
      </c>
      <c r="C660" s="4">
        <v>1010</v>
      </c>
      <c r="D660" s="4">
        <v>6</v>
      </c>
      <c r="E660" s="12" t="s">
        <v>40</v>
      </c>
      <c r="F660" s="4">
        <v>2024</v>
      </c>
      <c r="G660" s="4" t="s">
        <v>32</v>
      </c>
      <c r="H660" s="4" t="s">
        <v>33</v>
      </c>
      <c r="I660" s="4" t="s">
        <v>173</v>
      </c>
      <c r="J660" s="4" t="s">
        <v>35</v>
      </c>
      <c r="K660" s="4" t="s">
        <v>244</v>
      </c>
      <c r="L660" s="4" t="s">
        <v>91</v>
      </c>
      <c r="M660" s="4" t="s">
        <v>41</v>
      </c>
      <c r="N660" s="4" t="s">
        <v>42</v>
      </c>
      <c r="O660" s="4">
        <v>28</v>
      </c>
      <c r="P660" s="4">
        <v>226</v>
      </c>
    </row>
    <row r="661" spans="1:16" hidden="1" x14ac:dyDescent="0.35">
      <c r="A661" s="4" t="s">
        <v>45</v>
      </c>
      <c r="C661" s="4">
        <v>1010</v>
      </c>
      <c r="D661" s="4">
        <v>6</v>
      </c>
      <c r="E661" s="12" t="s">
        <v>40</v>
      </c>
      <c r="F661" s="4">
        <v>2024</v>
      </c>
      <c r="G661" s="4" t="s">
        <v>32</v>
      </c>
      <c r="H661" s="4" t="s">
        <v>33</v>
      </c>
      <c r="I661" s="4" t="s">
        <v>173</v>
      </c>
      <c r="J661" s="4" t="s">
        <v>35</v>
      </c>
      <c r="K661" s="4" t="s">
        <v>244</v>
      </c>
      <c r="L661" s="4" t="s">
        <v>91</v>
      </c>
      <c r="M661" s="4" t="s">
        <v>41</v>
      </c>
      <c r="N661" s="4" t="s">
        <v>192</v>
      </c>
      <c r="O661" s="4">
        <v>20</v>
      </c>
      <c r="P661" s="4">
        <v>226</v>
      </c>
    </row>
    <row r="662" spans="1:16" hidden="1" x14ac:dyDescent="0.35">
      <c r="A662" s="4" t="s">
        <v>45</v>
      </c>
      <c r="C662" s="4">
        <v>1010</v>
      </c>
      <c r="D662" s="4">
        <v>6</v>
      </c>
      <c r="E662" s="12" t="s">
        <v>40</v>
      </c>
      <c r="F662" s="4">
        <v>2024</v>
      </c>
      <c r="G662" s="4" t="s">
        <v>32</v>
      </c>
      <c r="H662" s="4" t="s">
        <v>33</v>
      </c>
      <c r="I662" s="4" t="s">
        <v>173</v>
      </c>
      <c r="J662" s="4" t="s">
        <v>35</v>
      </c>
      <c r="K662" s="4" t="s">
        <v>244</v>
      </c>
      <c r="L662" s="4" t="s">
        <v>39</v>
      </c>
      <c r="M662" s="4" t="s">
        <v>41</v>
      </c>
      <c r="N662" s="4" t="s">
        <v>42</v>
      </c>
      <c r="O662" s="4">
        <v>1</v>
      </c>
      <c r="P662" s="4">
        <v>226</v>
      </c>
    </row>
    <row r="663" spans="1:16" hidden="1" x14ac:dyDescent="0.35">
      <c r="A663" s="4" t="s">
        <v>45</v>
      </c>
      <c r="C663" s="4">
        <v>1010</v>
      </c>
      <c r="D663" s="4">
        <v>6</v>
      </c>
      <c r="E663" s="12" t="s">
        <v>40</v>
      </c>
      <c r="F663" s="4">
        <v>2024</v>
      </c>
      <c r="G663" s="4" t="s">
        <v>32</v>
      </c>
      <c r="H663" s="4" t="s">
        <v>33</v>
      </c>
      <c r="I663" s="4" t="s">
        <v>173</v>
      </c>
      <c r="J663" s="4" t="s">
        <v>35</v>
      </c>
      <c r="K663" s="4" t="s">
        <v>244</v>
      </c>
      <c r="L663" s="4" t="s">
        <v>39</v>
      </c>
      <c r="M663" s="4" t="s">
        <v>41</v>
      </c>
      <c r="N663" s="4" t="s">
        <v>192</v>
      </c>
      <c r="O663" s="4">
        <v>4</v>
      </c>
      <c r="P663" s="4">
        <v>226</v>
      </c>
    </row>
    <row r="664" spans="1:16" hidden="1" x14ac:dyDescent="0.35">
      <c r="A664" s="4" t="s">
        <v>45</v>
      </c>
      <c r="C664" s="4">
        <v>1010</v>
      </c>
      <c r="D664" s="4">
        <v>6</v>
      </c>
      <c r="E664" s="12" t="s">
        <v>40</v>
      </c>
      <c r="F664" s="4">
        <v>2024</v>
      </c>
      <c r="G664" s="4" t="s">
        <v>32</v>
      </c>
      <c r="H664" s="4" t="s">
        <v>33</v>
      </c>
      <c r="I664" s="4" t="s">
        <v>133</v>
      </c>
      <c r="J664" s="4" t="s">
        <v>35</v>
      </c>
      <c r="K664" s="4" t="s">
        <v>244</v>
      </c>
      <c r="L664" s="4" t="s">
        <v>91</v>
      </c>
      <c r="M664" s="4" t="s">
        <v>41</v>
      </c>
      <c r="N664" s="4" t="s">
        <v>42</v>
      </c>
      <c r="O664" s="4">
        <v>27</v>
      </c>
      <c r="P664" s="4">
        <v>226</v>
      </c>
    </row>
    <row r="665" spans="1:16" hidden="1" x14ac:dyDescent="0.35">
      <c r="A665" s="4" t="s">
        <v>45</v>
      </c>
      <c r="C665" s="4">
        <v>1010</v>
      </c>
      <c r="D665" s="4">
        <v>6</v>
      </c>
      <c r="E665" s="12" t="s">
        <v>40</v>
      </c>
      <c r="F665" s="4">
        <v>2024</v>
      </c>
      <c r="G665" s="4" t="s">
        <v>32</v>
      </c>
      <c r="H665" s="4" t="s">
        <v>33</v>
      </c>
      <c r="I665" s="4" t="s">
        <v>133</v>
      </c>
      <c r="J665" s="4" t="s">
        <v>35</v>
      </c>
      <c r="K665" s="4" t="s">
        <v>244</v>
      </c>
      <c r="L665" s="4" t="s">
        <v>91</v>
      </c>
      <c r="M665" s="4" t="s">
        <v>41</v>
      </c>
      <c r="N665" s="4" t="s">
        <v>192</v>
      </c>
      <c r="O665" s="4">
        <v>27</v>
      </c>
      <c r="P665" s="4">
        <v>226</v>
      </c>
    </row>
    <row r="666" spans="1:16" hidden="1" x14ac:dyDescent="0.35">
      <c r="A666" s="4" t="s">
        <v>45</v>
      </c>
      <c r="C666" s="4">
        <v>1010</v>
      </c>
      <c r="D666" s="4">
        <v>6</v>
      </c>
      <c r="E666" s="12" t="s">
        <v>40</v>
      </c>
      <c r="F666" s="4">
        <v>2024</v>
      </c>
      <c r="G666" s="4" t="s">
        <v>32</v>
      </c>
      <c r="H666" s="4" t="s">
        <v>33</v>
      </c>
      <c r="I666" s="4" t="s">
        <v>133</v>
      </c>
      <c r="J666" s="4" t="s">
        <v>35</v>
      </c>
      <c r="K666" s="4" t="s">
        <v>244</v>
      </c>
      <c r="L666" s="4" t="s">
        <v>39</v>
      </c>
      <c r="M666" s="4" t="s">
        <v>41</v>
      </c>
      <c r="N666" s="4" t="s">
        <v>42</v>
      </c>
      <c r="O666" s="4">
        <v>1</v>
      </c>
      <c r="P666" s="4">
        <v>226</v>
      </c>
    </row>
    <row r="667" spans="1:16" hidden="1" x14ac:dyDescent="0.35">
      <c r="A667" s="4" t="s">
        <v>45</v>
      </c>
      <c r="C667" s="4">
        <v>1010</v>
      </c>
      <c r="D667" s="4">
        <v>6</v>
      </c>
      <c r="E667" s="12" t="s">
        <v>40</v>
      </c>
      <c r="F667" s="4">
        <v>2024</v>
      </c>
      <c r="G667" s="4" t="s">
        <v>32</v>
      </c>
      <c r="H667" s="4" t="s">
        <v>33</v>
      </c>
      <c r="I667" s="4" t="s">
        <v>133</v>
      </c>
      <c r="J667" s="4" t="s">
        <v>35</v>
      </c>
      <c r="K667" s="4" t="s">
        <v>244</v>
      </c>
      <c r="L667" s="4" t="s">
        <v>39</v>
      </c>
      <c r="M667" s="4" t="s">
        <v>41</v>
      </c>
      <c r="N667" s="4" t="s">
        <v>192</v>
      </c>
      <c r="O667" s="4">
        <v>0</v>
      </c>
      <c r="P667" s="4">
        <v>226</v>
      </c>
    </row>
    <row r="668" spans="1:16" hidden="1" x14ac:dyDescent="0.35">
      <c r="A668" s="4" t="s">
        <v>45</v>
      </c>
      <c r="C668" s="4">
        <v>1010</v>
      </c>
      <c r="D668" s="4">
        <v>6</v>
      </c>
      <c r="E668" s="12" t="s">
        <v>40</v>
      </c>
      <c r="F668" s="4">
        <v>2024</v>
      </c>
      <c r="G668" s="4" t="s">
        <v>32</v>
      </c>
      <c r="H668" s="4" t="s">
        <v>33</v>
      </c>
      <c r="I668" s="4" t="s">
        <v>44</v>
      </c>
      <c r="J668" s="4" t="s">
        <v>35</v>
      </c>
      <c r="K668" s="4" t="s">
        <v>244</v>
      </c>
      <c r="L668" s="4" t="s">
        <v>91</v>
      </c>
      <c r="M668" s="4" t="s">
        <v>41</v>
      </c>
      <c r="N668" s="4" t="s">
        <v>42</v>
      </c>
      <c r="O668" s="4">
        <v>26</v>
      </c>
      <c r="P668" s="4">
        <v>226</v>
      </c>
    </row>
    <row r="669" spans="1:16" hidden="1" x14ac:dyDescent="0.35">
      <c r="A669" s="4" t="s">
        <v>45</v>
      </c>
      <c r="C669" s="4">
        <v>1010</v>
      </c>
      <c r="D669" s="4">
        <v>6</v>
      </c>
      <c r="E669" s="12" t="s">
        <v>40</v>
      </c>
      <c r="F669" s="4">
        <v>2024</v>
      </c>
      <c r="G669" s="4" t="s">
        <v>32</v>
      </c>
      <c r="H669" s="4" t="s">
        <v>33</v>
      </c>
      <c r="I669" s="4" t="s">
        <v>44</v>
      </c>
      <c r="J669" s="4" t="s">
        <v>35</v>
      </c>
      <c r="K669" s="4" t="s">
        <v>244</v>
      </c>
      <c r="L669" s="4" t="s">
        <v>91</v>
      </c>
      <c r="M669" s="4" t="s">
        <v>41</v>
      </c>
      <c r="N669" s="4" t="s">
        <v>192</v>
      </c>
      <c r="O669" s="4">
        <v>24</v>
      </c>
      <c r="P669" s="4">
        <v>226</v>
      </c>
    </row>
    <row r="670" spans="1:16" hidden="1" x14ac:dyDescent="0.35">
      <c r="A670" s="4" t="s">
        <v>45</v>
      </c>
      <c r="C670" s="4">
        <v>1010</v>
      </c>
      <c r="D670" s="4">
        <v>6</v>
      </c>
      <c r="E670" s="12" t="s">
        <v>40</v>
      </c>
      <c r="F670" s="4">
        <v>2024</v>
      </c>
      <c r="G670" s="4" t="s">
        <v>32</v>
      </c>
      <c r="H670" s="4" t="s">
        <v>33</v>
      </c>
      <c r="I670" s="4" t="s">
        <v>174</v>
      </c>
      <c r="J670" s="4" t="s">
        <v>35</v>
      </c>
      <c r="K670" s="4" t="s">
        <v>244</v>
      </c>
      <c r="L670" s="4" t="s">
        <v>91</v>
      </c>
      <c r="M670" s="4" t="s">
        <v>41</v>
      </c>
      <c r="N670" s="4" t="s">
        <v>42</v>
      </c>
      <c r="O670" s="4">
        <v>26</v>
      </c>
      <c r="P670" s="4">
        <v>226</v>
      </c>
    </row>
    <row r="671" spans="1:16" hidden="1" x14ac:dyDescent="0.35">
      <c r="A671" s="4" t="s">
        <v>45</v>
      </c>
      <c r="C671" s="4">
        <v>1010</v>
      </c>
      <c r="D671" s="4">
        <v>6</v>
      </c>
      <c r="E671" s="12" t="s">
        <v>40</v>
      </c>
      <c r="F671" s="4">
        <v>2024</v>
      </c>
      <c r="G671" s="4" t="s">
        <v>32</v>
      </c>
      <c r="H671" s="4" t="s">
        <v>33</v>
      </c>
      <c r="I671" s="4" t="s">
        <v>174</v>
      </c>
      <c r="J671" s="4" t="s">
        <v>35</v>
      </c>
      <c r="K671" s="4" t="s">
        <v>244</v>
      </c>
      <c r="L671" s="4" t="s">
        <v>91</v>
      </c>
      <c r="M671" s="4" t="s">
        <v>41</v>
      </c>
      <c r="N671" s="4" t="s">
        <v>192</v>
      </c>
      <c r="O671" s="4">
        <v>29</v>
      </c>
      <c r="P671" s="4">
        <v>226</v>
      </c>
    </row>
    <row r="672" spans="1:16" hidden="1" x14ac:dyDescent="0.35">
      <c r="A672" s="4" t="s">
        <v>45</v>
      </c>
      <c r="C672" s="4">
        <v>1010</v>
      </c>
      <c r="D672" s="4">
        <v>6</v>
      </c>
      <c r="E672" s="12" t="s">
        <v>40</v>
      </c>
      <c r="F672" s="4">
        <v>2024</v>
      </c>
      <c r="G672" s="4" t="s">
        <v>32</v>
      </c>
      <c r="H672" s="4" t="s">
        <v>33</v>
      </c>
      <c r="I672" s="4" t="s">
        <v>174</v>
      </c>
      <c r="J672" s="4" t="s">
        <v>35</v>
      </c>
      <c r="K672" s="4" t="s">
        <v>244</v>
      </c>
      <c r="L672" s="4" t="s">
        <v>91</v>
      </c>
      <c r="M672" s="4" t="s">
        <v>41</v>
      </c>
      <c r="N672" s="4" t="s">
        <v>42</v>
      </c>
      <c r="O672" s="4">
        <v>0</v>
      </c>
      <c r="P672" s="4">
        <v>226</v>
      </c>
    </row>
    <row r="673" spans="1:28" hidden="1" x14ac:dyDescent="0.35">
      <c r="A673" s="4" t="s">
        <v>45</v>
      </c>
      <c r="C673" s="4">
        <v>1010</v>
      </c>
      <c r="D673" s="4">
        <v>6</v>
      </c>
      <c r="E673" s="12" t="s">
        <v>40</v>
      </c>
      <c r="F673" s="4">
        <v>2024</v>
      </c>
      <c r="G673" s="4" t="s">
        <v>32</v>
      </c>
      <c r="H673" s="4" t="s">
        <v>33</v>
      </c>
      <c r="I673" s="4" t="s">
        <v>174</v>
      </c>
      <c r="J673" s="4" t="s">
        <v>35</v>
      </c>
      <c r="K673" s="4" t="s">
        <v>244</v>
      </c>
      <c r="L673" s="4" t="s">
        <v>91</v>
      </c>
      <c r="M673" s="4" t="s">
        <v>41</v>
      </c>
      <c r="N673" s="4" t="s">
        <v>192</v>
      </c>
      <c r="O673" s="4">
        <v>0</v>
      </c>
      <c r="P673" s="4">
        <v>226</v>
      </c>
    </row>
    <row r="674" spans="1:28" hidden="1" x14ac:dyDescent="0.35">
      <c r="A674" s="4" t="s">
        <v>45</v>
      </c>
      <c r="C674" s="4">
        <v>1010</v>
      </c>
      <c r="D674" s="4">
        <v>6</v>
      </c>
      <c r="E674" s="12" t="s">
        <v>40</v>
      </c>
      <c r="F674" s="4">
        <v>2024</v>
      </c>
      <c r="G674" s="4" t="s">
        <v>32</v>
      </c>
      <c r="H674" s="4" t="s">
        <v>33</v>
      </c>
      <c r="I674" s="4" t="s">
        <v>135</v>
      </c>
      <c r="J674" s="4" t="s">
        <v>35</v>
      </c>
      <c r="K674" s="4" t="s">
        <v>244</v>
      </c>
      <c r="L674" s="4" t="s">
        <v>91</v>
      </c>
      <c r="M674" s="4" t="s">
        <v>41</v>
      </c>
      <c r="N674" s="4" t="s">
        <v>42</v>
      </c>
      <c r="O674" s="4">
        <v>21</v>
      </c>
      <c r="P674" s="4">
        <v>226</v>
      </c>
    </row>
    <row r="675" spans="1:28" hidden="1" x14ac:dyDescent="0.35">
      <c r="A675" s="4" t="s">
        <v>45</v>
      </c>
      <c r="C675" s="4">
        <v>1010</v>
      </c>
      <c r="D675" s="4">
        <v>6</v>
      </c>
      <c r="E675" s="12" t="s">
        <v>40</v>
      </c>
      <c r="F675" s="4">
        <v>2024</v>
      </c>
      <c r="G675" s="4" t="s">
        <v>32</v>
      </c>
      <c r="H675" s="4" t="s">
        <v>33</v>
      </c>
      <c r="I675" s="4" t="s">
        <v>135</v>
      </c>
      <c r="J675" s="4" t="s">
        <v>35</v>
      </c>
      <c r="K675" s="4" t="s">
        <v>244</v>
      </c>
      <c r="L675" s="4" t="s">
        <v>91</v>
      </c>
      <c r="M675" s="4" t="s">
        <v>41</v>
      </c>
      <c r="N675" s="4" t="s">
        <v>192</v>
      </c>
      <c r="O675" s="4">
        <v>28</v>
      </c>
      <c r="P675" s="4">
        <v>226</v>
      </c>
    </row>
    <row r="676" spans="1:28" hidden="1" x14ac:dyDescent="0.35">
      <c r="A676" s="4" t="s">
        <v>45</v>
      </c>
      <c r="C676" s="4">
        <v>1010</v>
      </c>
      <c r="D676" s="4">
        <v>6</v>
      </c>
      <c r="E676" s="12" t="s">
        <v>40</v>
      </c>
      <c r="F676" s="4">
        <v>2024</v>
      </c>
      <c r="G676" s="4" t="s">
        <v>32</v>
      </c>
      <c r="H676" s="4" t="s">
        <v>33</v>
      </c>
      <c r="I676" s="4" t="s">
        <v>135</v>
      </c>
      <c r="J676" s="4" t="s">
        <v>35</v>
      </c>
      <c r="K676" s="4" t="s">
        <v>244</v>
      </c>
      <c r="L676" s="4" t="s">
        <v>39</v>
      </c>
      <c r="M676" s="4" t="s">
        <v>41</v>
      </c>
      <c r="N676" s="4" t="s">
        <v>42</v>
      </c>
      <c r="O676" s="4">
        <v>0</v>
      </c>
      <c r="P676" s="4">
        <v>226</v>
      </c>
    </row>
    <row r="677" spans="1:28" hidden="1" x14ac:dyDescent="0.35">
      <c r="A677" s="4" t="s">
        <v>45</v>
      </c>
      <c r="C677" s="4">
        <v>1010</v>
      </c>
      <c r="D677" s="4">
        <v>6</v>
      </c>
      <c r="E677" s="12" t="s">
        <v>40</v>
      </c>
      <c r="F677" s="4">
        <v>2024</v>
      </c>
      <c r="G677" s="4" t="s">
        <v>32</v>
      </c>
      <c r="H677" s="4" t="s">
        <v>33</v>
      </c>
      <c r="I677" s="4" t="s">
        <v>135</v>
      </c>
      <c r="J677" s="4" t="s">
        <v>35</v>
      </c>
      <c r="K677" s="4" t="s">
        <v>244</v>
      </c>
      <c r="L677" s="4" t="s">
        <v>39</v>
      </c>
      <c r="M677" s="4" t="s">
        <v>41</v>
      </c>
      <c r="N677" s="4" t="s">
        <v>192</v>
      </c>
      <c r="O677" s="4">
        <v>0</v>
      </c>
      <c r="P677" s="4">
        <v>226</v>
      </c>
    </row>
    <row r="678" spans="1:28" hidden="1" x14ac:dyDescent="0.35">
      <c r="A678" s="4" t="s">
        <v>45</v>
      </c>
      <c r="C678" s="4">
        <v>1010</v>
      </c>
      <c r="D678" s="4">
        <v>6</v>
      </c>
      <c r="E678" s="12" t="s">
        <v>40</v>
      </c>
      <c r="F678" s="4">
        <v>2024</v>
      </c>
      <c r="G678" s="4" t="s">
        <v>32</v>
      </c>
      <c r="H678" s="4" t="s">
        <v>33</v>
      </c>
      <c r="I678" s="4" t="s">
        <v>175</v>
      </c>
      <c r="J678" s="4" t="s">
        <v>35</v>
      </c>
      <c r="K678" s="4" t="s">
        <v>244</v>
      </c>
      <c r="L678" s="4" t="s">
        <v>91</v>
      </c>
      <c r="M678" s="4" t="s">
        <v>41</v>
      </c>
      <c r="N678" s="4" t="s">
        <v>42</v>
      </c>
      <c r="O678" s="4">
        <v>90</v>
      </c>
      <c r="P678" s="4">
        <v>226</v>
      </c>
    </row>
    <row r="679" spans="1:28" hidden="1" x14ac:dyDescent="0.35">
      <c r="A679" s="4" t="s">
        <v>45</v>
      </c>
      <c r="C679" s="4">
        <v>1010</v>
      </c>
      <c r="D679" s="4">
        <v>6</v>
      </c>
      <c r="E679" s="12" t="s">
        <v>40</v>
      </c>
      <c r="F679" s="4">
        <v>2024</v>
      </c>
      <c r="G679" s="4" t="s">
        <v>32</v>
      </c>
      <c r="H679" s="4" t="s">
        <v>33</v>
      </c>
      <c r="I679" s="4" t="s">
        <v>175</v>
      </c>
      <c r="J679" s="4" t="s">
        <v>35</v>
      </c>
      <c r="K679" s="4" t="s">
        <v>244</v>
      </c>
      <c r="L679" s="4" t="s">
        <v>91</v>
      </c>
      <c r="M679" s="4" t="s">
        <v>41</v>
      </c>
      <c r="N679" s="4" t="s">
        <v>192</v>
      </c>
      <c r="O679" s="4">
        <v>40</v>
      </c>
      <c r="P679" s="4">
        <v>226</v>
      </c>
    </row>
    <row r="680" spans="1:28" hidden="1" x14ac:dyDescent="0.35">
      <c r="A680" s="4" t="s">
        <v>45</v>
      </c>
      <c r="C680" s="4">
        <v>1010</v>
      </c>
      <c r="D680" s="4">
        <v>6</v>
      </c>
      <c r="E680" s="12" t="s">
        <v>40</v>
      </c>
      <c r="F680" s="4">
        <v>2024</v>
      </c>
      <c r="G680" s="4" t="s">
        <v>32</v>
      </c>
      <c r="H680" s="4" t="s">
        <v>33</v>
      </c>
      <c r="I680" s="4" t="s">
        <v>175</v>
      </c>
      <c r="J680" s="4" t="s">
        <v>35</v>
      </c>
      <c r="K680" s="4" t="s">
        <v>244</v>
      </c>
      <c r="L680" s="4" t="s">
        <v>39</v>
      </c>
      <c r="M680" s="4" t="s">
        <v>41</v>
      </c>
      <c r="N680" s="4" t="s">
        <v>42</v>
      </c>
      <c r="O680" s="4">
        <v>21</v>
      </c>
      <c r="P680" s="4">
        <v>226</v>
      </c>
    </row>
    <row r="681" spans="1:28" hidden="1" x14ac:dyDescent="0.35">
      <c r="A681" s="4" t="s">
        <v>45</v>
      </c>
      <c r="C681" s="4">
        <v>1010</v>
      </c>
      <c r="D681" s="4">
        <v>6</v>
      </c>
      <c r="E681" s="12" t="s">
        <v>40</v>
      </c>
      <c r="F681" s="4">
        <v>2024</v>
      </c>
      <c r="G681" s="4" t="s">
        <v>32</v>
      </c>
      <c r="H681" s="4" t="s">
        <v>33</v>
      </c>
      <c r="I681" s="4" t="s">
        <v>175</v>
      </c>
      <c r="J681" s="4" t="s">
        <v>35</v>
      </c>
      <c r="K681" s="4" t="s">
        <v>244</v>
      </c>
      <c r="L681" s="4" t="s">
        <v>39</v>
      </c>
      <c r="M681" s="4" t="s">
        <v>41</v>
      </c>
      <c r="N681" s="4" t="s">
        <v>192</v>
      </c>
      <c r="O681" s="4">
        <v>6</v>
      </c>
      <c r="P681" s="4">
        <v>226</v>
      </c>
    </row>
    <row r="682" spans="1:28" hidden="1" x14ac:dyDescent="0.35">
      <c r="A682" s="4" t="s">
        <v>45</v>
      </c>
      <c r="C682" s="4">
        <v>1010</v>
      </c>
      <c r="D682" s="4">
        <v>6</v>
      </c>
      <c r="E682" s="12" t="s">
        <v>40</v>
      </c>
      <c r="F682" s="4">
        <v>2024</v>
      </c>
      <c r="G682" s="4" t="s">
        <v>32</v>
      </c>
      <c r="H682" s="4" t="s">
        <v>176</v>
      </c>
      <c r="I682" s="4" t="s">
        <v>88</v>
      </c>
      <c r="K682" s="4" t="s">
        <v>244</v>
      </c>
      <c r="L682" s="4" t="s">
        <v>91</v>
      </c>
      <c r="M682" s="4" t="s">
        <v>41</v>
      </c>
      <c r="N682" s="4" t="s">
        <v>42</v>
      </c>
      <c r="O682" s="4">
        <v>121</v>
      </c>
      <c r="P682" s="4">
        <v>190</v>
      </c>
      <c r="S682" s="4">
        <f>O5055</f>
        <v>0</v>
      </c>
    </row>
    <row r="683" spans="1:28" hidden="1" x14ac:dyDescent="0.35">
      <c r="A683" s="4" t="s">
        <v>45</v>
      </c>
      <c r="C683" s="4">
        <v>1010</v>
      </c>
      <c r="D683" s="4">
        <v>6</v>
      </c>
      <c r="E683" s="12" t="s">
        <v>40</v>
      </c>
      <c r="F683" s="4">
        <v>2024</v>
      </c>
      <c r="G683" s="4" t="s">
        <v>32</v>
      </c>
      <c r="H683" s="4" t="s">
        <v>176</v>
      </c>
      <c r="I683" s="4" t="s">
        <v>88</v>
      </c>
      <c r="K683" s="4" t="s">
        <v>244</v>
      </c>
      <c r="L683" s="4" t="s">
        <v>91</v>
      </c>
      <c r="M683" s="4" t="s">
        <v>41</v>
      </c>
      <c r="N683" s="4" t="s">
        <v>192</v>
      </c>
      <c r="O683" s="4">
        <v>106</v>
      </c>
      <c r="P683" s="4">
        <v>173</v>
      </c>
    </row>
    <row r="684" spans="1:28" ht="42.45" x14ac:dyDescent="0.35">
      <c r="A684" s="4" t="s">
        <v>45</v>
      </c>
      <c r="C684" s="4">
        <v>1010</v>
      </c>
      <c r="D684" s="4">
        <v>6</v>
      </c>
      <c r="E684" s="12" t="s">
        <v>40</v>
      </c>
      <c r="F684" s="4">
        <v>2024</v>
      </c>
      <c r="G684" s="4" t="s">
        <v>32</v>
      </c>
      <c r="H684" s="4" t="s">
        <v>55</v>
      </c>
      <c r="I684" s="4" t="s">
        <v>57</v>
      </c>
      <c r="J684" s="4" t="s">
        <v>54</v>
      </c>
      <c r="K684" s="4" t="s">
        <v>244</v>
      </c>
      <c r="L684" s="6" t="s">
        <v>48</v>
      </c>
      <c r="M684" s="4" t="s">
        <v>41</v>
      </c>
      <c r="N684" s="4" t="s">
        <v>42</v>
      </c>
      <c r="O684" s="4">
        <v>72</v>
      </c>
      <c r="P684" s="4">
        <v>143</v>
      </c>
      <c r="AA684" s="10">
        <v>44977</v>
      </c>
      <c r="AB684" s="4">
        <v>1783</v>
      </c>
    </row>
    <row r="685" spans="1:28" ht="42.45" x14ac:dyDescent="0.35">
      <c r="A685" s="4" t="s">
        <v>45</v>
      </c>
      <c r="C685" s="4">
        <v>1010</v>
      </c>
      <c r="D685" s="4">
        <v>6</v>
      </c>
      <c r="E685" s="12" t="s">
        <v>40</v>
      </c>
      <c r="F685" s="4">
        <v>2024</v>
      </c>
      <c r="G685" s="4" t="s">
        <v>32</v>
      </c>
      <c r="H685" s="4" t="s">
        <v>55</v>
      </c>
      <c r="I685" s="4" t="s">
        <v>57</v>
      </c>
      <c r="J685" s="4" t="s">
        <v>54</v>
      </c>
      <c r="K685" s="4" t="s">
        <v>244</v>
      </c>
      <c r="L685" s="6" t="s">
        <v>48</v>
      </c>
      <c r="M685" s="4" t="s">
        <v>41</v>
      </c>
      <c r="N685" s="4" t="s">
        <v>192</v>
      </c>
      <c r="O685" s="4">
        <v>19</v>
      </c>
      <c r="P685" s="4">
        <v>129</v>
      </c>
      <c r="AA685" s="10">
        <v>44977</v>
      </c>
      <c r="AB685" s="4">
        <v>1783</v>
      </c>
    </row>
    <row r="686" spans="1:28" ht="42.45" x14ac:dyDescent="0.35">
      <c r="A686" s="4" t="s">
        <v>45</v>
      </c>
      <c r="C686" s="4">
        <v>1010</v>
      </c>
      <c r="D686" s="4">
        <v>6</v>
      </c>
      <c r="E686" s="12" t="s">
        <v>40</v>
      </c>
      <c r="F686" s="4">
        <v>2024</v>
      </c>
      <c r="G686" s="4" t="s">
        <v>32</v>
      </c>
      <c r="H686" s="4" t="s">
        <v>55</v>
      </c>
      <c r="I686" s="4" t="s">
        <v>57</v>
      </c>
      <c r="J686" s="4" t="s">
        <v>56</v>
      </c>
      <c r="K686" s="4" t="s">
        <v>244</v>
      </c>
      <c r="L686" s="6" t="s">
        <v>48</v>
      </c>
      <c r="M686" s="4" t="s">
        <v>41</v>
      </c>
      <c r="N686" s="4" t="s">
        <v>42</v>
      </c>
      <c r="O686" s="4">
        <v>55</v>
      </c>
      <c r="P686" s="4">
        <v>83</v>
      </c>
      <c r="AA686" s="10">
        <v>44977</v>
      </c>
      <c r="AB686" s="4">
        <v>1783</v>
      </c>
    </row>
    <row r="687" spans="1:28" ht="42.45" x14ac:dyDescent="0.35">
      <c r="A687" s="4" t="s">
        <v>45</v>
      </c>
      <c r="C687" s="4">
        <v>1010</v>
      </c>
      <c r="D687" s="4">
        <v>6</v>
      </c>
      <c r="E687" s="12" t="s">
        <v>40</v>
      </c>
      <c r="F687" s="4">
        <v>2024</v>
      </c>
      <c r="G687" s="4" t="s">
        <v>32</v>
      </c>
      <c r="H687" s="4" t="s">
        <v>55</v>
      </c>
      <c r="I687" s="4" t="s">
        <v>57</v>
      </c>
      <c r="J687" s="4" t="s">
        <v>56</v>
      </c>
      <c r="K687" s="4" t="s">
        <v>244</v>
      </c>
      <c r="L687" s="6" t="s">
        <v>48</v>
      </c>
      <c r="M687" s="4" t="s">
        <v>41</v>
      </c>
      <c r="N687" s="4" t="s">
        <v>192</v>
      </c>
      <c r="O687" s="4">
        <v>15</v>
      </c>
      <c r="P687" s="4">
        <v>98</v>
      </c>
      <c r="AA687" s="10">
        <v>44977</v>
      </c>
      <c r="AB687" s="4">
        <v>1783</v>
      </c>
    </row>
    <row r="688" spans="1:28" ht="42.45" hidden="1" x14ac:dyDescent="0.35">
      <c r="A688" s="4" t="s">
        <v>45</v>
      </c>
      <c r="C688" s="4">
        <v>1010</v>
      </c>
      <c r="D688" s="4">
        <v>6</v>
      </c>
      <c r="E688" s="12" t="s">
        <v>40</v>
      </c>
      <c r="F688" s="4">
        <v>2024</v>
      </c>
      <c r="G688" s="4" t="s">
        <v>32</v>
      </c>
      <c r="H688" s="4" t="s">
        <v>55</v>
      </c>
      <c r="I688" s="4" t="s">
        <v>58</v>
      </c>
      <c r="J688" s="4" t="s">
        <v>59</v>
      </c>
      <c r="K688" s="4" t="s">
        <v>244</v>
      </c>
      <c r="L688" s="6" t="s">
        <v>48</v>
      </c>
      <c r="M688" s="4" t="s">
        <v>41</v>
      </c>
      <c r="N688" s="4" t="s">
        <v>42</v>
      </c>
      <c r="O688" s="4">
        <v>7</v>
      </c>
      <c r="P688" s="4">
        <v>21</v>
      </c>
      <c r="AA688" s="10">
        <v>44977</v>
      </c>
      <c r="AB688" s="4">
        <v>1783</v>
      </c>
    </row>
    <row r="689" spans="1:28" ht="42.45" hidden="1" x14ac:dyDescent="0.35">
      <c r="A689" s="4" t="s">
        <v>45</v>
      </c>
      <c r="C689" s="4">
        <v>1010</v>
      </c>
      <c r="D689" s="4">
        <v>6</v>
      </c>
      <c r="E689" s="12" t="s">
        <v>40</v>
      </c>
      <c r="F689" s="4">
        <v>2024</v>
      </c>
      <c r="G689" s="4" t="s">
        <v>32</v>
      </c>
      <c r="H689" s="4" t="s">
        <v>55</v>
      </c>
      <c r="I689" s="4" t="s">
        <v>58</v>
      </c>
      <c r="J689" s="4" t="s">
        <v>59</v>
      </c>
      <c r="K689" s="4" t="s">
        <v>244</v>
      </c>
      <c r="L689" s="6" t="s">
        <v>48</v>
      </c>
      <c r="M689" s="4" t="s">
        <v>41</v>
      </c>
      <c r="N689" s="4" t="s">
        <v>192</v>
      </c>
      <c r="O689" s="4">
        <v>3</v>
      </c>
      <c r="P689" s="4">
        <v>22</v>
      </c>
      <c r="AA689" s="10">
        <v>44977</v>
      </c>
      <c r="AB689" s="4">
        <v>1783</v>
      </c>
    </row>
    <row r="690" spans="1:28" ht="42.45" hidden="1" x14ac:dyDescent="0.35">
      <c r="A690" s="4" t="s">
        <v>45</v>
      </c>
      <c r="C690" s="4">
        <v>1010</v>
      </c>
      <c r="D690" s="4">
        <v>6</v>
      </c>
      <c r="E690" s="12" t="s">
        <v>40</v>
      </c>
      <c r="F690" s="4">
        <v>2024</v>
      </c>
      <c r="G690" s="4" t="s">
        <v>32</v>
      </c>
      <c r="H690" s="4" t="s">
        <v>55</v>
      </c>
      <c r="I690" s="4" t="s">
        <v>58</v>
      </c>
      <c r="J690" s="4" t="s">
        <v>63</v>
      </c>
      <c r="K690" s="4" t="s">
        <v>244</v>
      </c>
      <c r="L690" s="6" t="s">
        <v>48</v>
      </c>
      <c r="M690" s="4" t="s">
        <v>41</v>
      </c>
      <c r="N690" s="4" t="s">
        <v>42</v>
      </c>
      <c r="O690" s="4">
        <v>120</v>
      </c>
      <c r="P690" s="4">
        <v>205</v>
      </c>
      <c r="AA690" s="10">
        <v>44977</v>
      </c>
      <c r="AB690" s="4">
        <v>1783</v>
      </c>
    </row>
    <row r="691" spans="1:28" ht="42.45" hidden="1" x14ac:dyDescent="0.35">
      <c r="A691" s="4" t="s">
        <v>45</v>
      </c>
      <c r="C691" s="4">
        <v>1010</v>
      </c>
      <c r="D691" s="4">
        <v>6</v>
      </c>
      <c r="E691" s="12" t="s">
        <v>40</v>
      </c>
      <c r="F691" s="4">
        <v>2024</v>
      </c>
      <c r="G691" s="4" t="s">
        <v>32</v>
      </c>
      <c r="H691" s="4" t="s">
        <v>55</v>
      </c>
      <c r="I691" s="4" t="s">
        <v>58</v>
      </c>
      <c r="J691" s="4" t="s">
        <v>63</v>
      </c>
      <c r="K691" s="4" t="s">
        <v>244</v>
      </c>
      <c r="L691" s="6" t="s">
        <v>48</v>
      </c>
      <c r="M691" s="4" t="s">
        <v>41</v>
      </c>
      <c r="N691" s="4" t="s">
        <v>192</v>
      </c>
      <c r="O691" s="4">
        <v>31</v>
      </c>
      <c r="P691" s="4">
        <v>205</v>
      </c>
      <c r="AA691" s="10">
        <v>44977</v>
      </c>
      <c r="AB691" s="4">
        <v>1783</v>
      </c>
    </row>
    <row r="692" spans="1:28" ht="42.45" hidden="1" x14ac:dyDescent="0.35">
      <c r="A692" s="4" t="s">
        <v>45</v>
      </c>
      <c r="C692" s="4">
        <v>1010</v>
      </c>
      <c r="D692" s="4">
        <v>6</v>
      </c>
      <c r="E692" s="12" t="s">
        <v>40</v>
      </c>
      <c r="F692" s="4">
        <v>2024</v>
      </c>
      <c r="G692" s="4" t="s">
        <v>32</v>
      </c>
      <c r="H692" s="4" t="s">
        <v>55</v>
      </c>
      <c r="I692" s="4" t="s">
        <v>64</v>
      </c>
      <c r="J692" s="4">
        <v>0</v>
      </c>
      <c r="K692" s="4" t="s">
        <v>244</v>
      </c>
      <c r="L692" s="6" t="s">
        <v>48</v>
      </c>
      <c r="M692" s="4" t="s">
        <v>41</v>
      </c>
      <c r="N692" s="4" t="s">
        <v>42</v>
      </c>
      <c r="O692" s="4">
        <v>78</v>
      </c>
      <c r="P692" s="4">
        <v>142</v>
      </c>
      <c r="AA692" s="10">
        <v>44977</v>
      </c>
      <c r="AB692" s="4">
        <v>1783</v>
      </c>
    </row>
    <row r="693" spans="1:28" ht="42.45" hidden="1" x14ac:dyDescent="0.35">
      <c r="A693" s="4" t="s">
        <v>45</v>
      </c>
      <c r="C693" s="4">
        <v>1010</v>
      </c>
      <c r="D693" s="4">
        <v>6</v>
      </c>
      <c r="E693" s="12" t="s">
        <v>40</v>
      </c>
      <c r="F693" s="4">
        <v>2024</v>
      </c>
      <c r="G693" s="4" t="s">
        <v>32</v>
      </c>
      <c r="H693" s="4" t="s">
        <v>55</v>
      </c>
      <c r="I693" s="4" t="s">
        <v>64</v>
      </c>
      <c r="J693" s="4">
        <v>0</v>
      </c>
      <c r="K693" s="4" t="s">
        <v>244</v>
      </c>
      <c r="L693" s="6" t="s">
        <v>48</v>
      </c>
      <c r="M693" s="4" t="s">
        <v>41</v>
      </c>
      <c r="N693" s="4" t="s">
        <v>192</v>
      </c>
      <c r="O693" s="4">
        <v>26</v>
      </c>
      <c r="P693" s="4">
        <v>154</v>
      </c>
      <c r="AA693" s="10">
        <v>44977</v>
      </c>
      <c r="AB693" s="4">
        <v>1783</v>
      </c>
    </row>
    <row r="694" spans="1:28" ht="42.45" hidden="1" x14ac:dyDescent="0.35">
      <c r="A694" s="4" t="s">
        <v>45</v>
      </c>
      <c r="C694" s="4">
        <v>1010</v>
      </c>
      <c r="D694" s="4">
        <v>6</v>
      </c>
      <c r="E694" s="12" t="s">
        <v>40</v>
      </c>
      <c r="F694" s="4">
        <v>2024</v>
      </c>
      <c r="G694" s="4" t="s">
        <v>32</v>
      </c>
      <c r="H694" s="4" t="s">
        <v>55</v>
      </c>
      <c r="I694" s="4" t="s">
        <v>64</v>
      </c>
      <c r="J694" s="4">
        <v>1</v>
      </c>
      <c r="K694" s="4" t="s">
        <v>244</v>
      </c>
      <c r="L694" s="6" t="s">
        <v>48</v>
      </c>
      <c r="M694" s="4" t="s">
        <v>41</v>
      </c>
      <c r="N694" s="4" t="s">
        <v>42</v>
      </c>
      <c r="O694" s="4">
        <v>48</v>
      </c>
      <c r="P694" s="4">
        <v>83</v>
      </c>
      <c r="AA694" s="10">
        <v>44977</v>
      </c>
      <c r="AB694" s="4">
        <v>1783</v>
      </c>
    </row>
    <row r="695" spans="1:28" ht="42.45" hidden="1" x14ac:dyDescent="0.35">
      <c r="A695" s="4" t="s">
        <v>45</v>
      </c>
      <c r="C695" s="4">
        <v>1010</v>
      </c>
      <c r="D695" s="4">
        <v>6</v>
      </c>
      <c r="E695" s="12" t="s">
        <v>40</v>
      </c>
      <c r="F695" s="4">
        <v>2024</v>
      </c>
      <c r="G695" s="4" t="s">
        <v>32</v>
      </c>
      <c r="H695" s="4" t="s">
        <v>55</v>
      </c>
      <c r="I695" s="4" t="s">
        <v>64</v>
      </c>
      <c r="J695" s="4">
        <v>1</v>
      </c>
      <c r="K695" s="4" t="s">
        <v>244</v>
      </c>
      <c r="L695" s="6" t="s">
        <v>48</v>
      </c>
      <c r="M695" s="4" t="s">
        <v>41</v>
      </c>
      <c r="N695" s="4" t="s">
        <v>192</v>
      </c>
      <c r="O695" s="4">
        <v>8</v>
      </c>
      <c r="P695" s="4">
        <v>73</v>
      </c>
      <c r="AA695" s="10">
        <v>44977</v>
      </c>
      <c r="AB695" s="4">
        <v>1783</v>
      </c>
    </row>
    <row r="696" spans="1:28" ht="42.45" hidden="1" x14ac:dyDescent="0.35">
      <c r="A696" s="4" t="s">
        <v>45</v>
      </c>
      <c r="C696" s="4">
        <v>1010</v>
      </c>
      <c r="D696" s="4">
        <v>6</v>
      </c>
      <c r="E696" s="12" t="s">
        <v>40</v>
      </c>
      <c r="F696" s="4">
        <v>2024</v>
      </c>
      <c r="G696" s="4" t="s">
        <v>32</v>
      </c>
      <c r="H696" s="4" t="s">
        <v>55</v>
      </c>
      <c r="I696" s="4" t="s">
        <v>77</v>
      </c>
      <c r="J696" s="4" t="s">
        <v>83</v>
      </c>
      <c r="K696" s="4" t="s">
        <v>244</v>
      </c>
      <c r="L696" s="6" t="s">
        <v>48</v>
      </c>
      <c r="M696" s="4" t="s">
        <v>41</v>
      </c>
      <c r="N696" s="4" t="s">
        <v>42</v>
      </c>
      <c r="O696" s="4">
        <v>49</v>
      </c>
      <c r="P696" s="4">
        <v>93</v>
      </c>
      <c r="AA696" s="10">
        <v>44977</v>
      </c>
      <c r="AB696" s="4">
        <v>1783</v>
      </c>
    </row>
    <row r="697" spans="1:28" ht="42.45" hidden="1" x14ac:dyDescent="0.35">
      <c r="A697" s="4" t="s">
        <v>45</v>
      </c>
      <c r="C697" s="4">
        <v>1010</v>
      </c>
      <c r="D697" s="4">
        <v>6</v>
      </c>
      <c r="E697" s="12" t="s">
        <v>40</v>
      </c>
      <c r="F697" s="4">
        <v>2024</v>
      </c>
      <c r="G697" s="4" t="s">
        <v>32</v>
      </c>
      <c r="H697" s="4" t="s">
        <v>55</v>
      </c>
      <c r="I697" s="4" t="s">
        <v>77</v>
      </c>
      <c r="J697" s="4" t="s">
        <v>83</v>
      </c>
      <c r="K697" s="4" t="s">
        <v>244</v>
      </c>
      <c r="L697" s="6" t="s">
        <v>48</v>
      </c>
      <c r="M697" s="4" t="s">
        <v>41</v>
      </c>
      <c r="N697" s="4" t="s">
        <v>192</v>
      </c>
      <c r="O697" s="4">
        <v>17</v>
      </c>
      <c r="P697" s="4">
        <v>93</v>
      </c>
      <c r="AA697" s="10">
        <v>44977</v>
      </c>
      <c r="AB697" s="4">
        <v>1783</v>
      </c>
    </row>
    <row r="698" spans="1:28" ht="42.45" hidden="1" x14ac:dyDescent="0.35">
      <c r="A698" s="4" t="s">
        <v>45</v>
      </c>
      <c r="C698" s="4">
        <v>1010</v>
      </c>
      <c r="D698" s="4">
        <v>6</v>
      </c>
      <c r="E698" s="12" t="s">
        <v>40</v>
      </c>
      <c r="F698" s="4">
        <v>2024</v>
      </c>
      <c r="G698" s="4" t="s">
        <v>32</v>
      </c>
      <c r="H698" s="4" t="s">
        <v>55</v>
      </c>
      <c r="I698" s="4" t="s">
        <v>77</v>
      </c>
      <c r="J698" s="4" t="s">
        <v>84</v>
      </c>
      <c r="K698" s="4" t="s">
        <v>244</v>
      </c>
      <c r="L698" s="6" t="s">
        <v>48</v>
      </c>
      <c r="M698" s="4" t="s">
        <v>41</v>
      </c>
      <c r="N698" s="4" t="s">
        <v>42</v>
      </c>
      <c r="O698" s="4">
        <v>77</v>
      </c>
      <c r="P698" s="4">
        <v>132</v>
      </c>
      <c r="AA698" s="10">
        <v>44977</v>
      </c>
      <c r="AB698" s="4">
        <v>1783</v>
      </c>
    </row>
    <row r="699" spans="1:28" ht="42.45" hidden="1" x14ac:dyDescent="0.35">
      <c r="A699" s="4" t="s">
        <v>45</v>
      </c>
      <c r="C699" s="4">
        <v>1010</v>
      </c>
      <c r="D699" s="4">
        <v>6</v>
      </c>
      <c r="E699" s="12" t="s">
        <v>40</v>
      </c>
      <c r="F699" s="4">
        <v>2024</v>
      </c>
      <c r="G699" s="4" t="s">
        <v>32</v>
      </c>
      <c r="H699" s="4" t="s">
        <v>55</v>
      </c>
      <c r="I699" s="4" t="s">
        <v>77</v>
      </c>
      <c r="J699" s="4" t="s">
        <v>84</v>
      </c>
      <c r="K699" s="4" t="s">
        <v>244</v>
      </c>
      <c r="L699" s="6" t="s">
        <v>48</v>
      </c>
      <c r="M699" s="4" t="s">
        <v>41</v>
      </c>
      <c r="N699" s="4" t="s">
        <v>192</v>
      </c>
      <c r="O699" s="4">
        <v>17</v>
      </c>
      <c r="P699" s="4">
        <v>132</v>
      </c>
      <c r="AA699" s="10">
        <v>44977</v>
      </c>
      <c r="AB699" s="4">
        <v>1783</v>
      </c>
    </row>
    <row r="700" spans="1:28" ht="42.45" hidden="1" x14ac:dyDescent="0.35">
      <c r="A700" s="4" t="s">
        <v>45</v>
      </c>
      <c r="C700" s="4">
        <v>1010</v>
      </c>
      <c r="D700" s="4">
        <v>6</v>
      </c>
      <c r="E700" s="12" t="s">
        <v>40</v>
      </c>
      <c r="F700" s="4">
        <v>2024</v>
      </c>
      <c r="G700" s="4" t="s">
        <v>32</v>
      </c>
      <c r="H700" s="4" t="s">
        <v>55</v>
      </c>
      <c r="I700" s="4" t="s">
        <v>79</v>
      </c>
      <c r="J700" s="4" t="s">
        <v>80</v>
      </c>
      <c r="K700" s="4" t="s">
        <v>244</v>
      </c>
      <c r="L700" s="6" t="s">
        <v>48</v>
      </c>
      <c r="M700" s="4" t="s">
        <v>41</v>
      </c>
      <c r="N700" s="4" t="s">
        <v>42</v>
      </c>
      <c r="O700" s="4">
        <v>18</v>
      </c>
      <c r="P700" s="4">
        <v>45</v>
      </c>
      <c r="AA700" s="10">
        <v>44977</v>
      </c>
      <c r="AB700" s="4">
        <v>1783</v>
      </c>
    </row>
    <row r="701" spans="1:28" ht="42.45" hidden="1" x14ac:dyDescent="0.35">
      <c r="A701" s="4" t="s">
        <v>45</v>
      </c>
      <c r="C701" s="4">
        <v>1010</v>
      </c>
      <c r="D701" s="4">
        <v>6</v>
      </c>
      <c r="E701" s="12" t="s">
        <v>40</v>
      </c>
      <c r="F701" s="4">
        <v>2024</v>
      </c>
      <c r="G701" s="4" t="s">
        <v>32</v>
      </c>
      <c r="H701" s="4" t="s">
        <v>55</v>
      </c>
      <c r="I701" s="4" t="s">
        <v>79</v>
      </c>
      <c r="J701" s="4" t="s">
        <v>80</v>
      </c>
      <c r="K701" s="4" t="s">
        <v>244</v>
      </c>
      <c r="L701" s="6" t="s">
        <v>48</v>
      </c>
      <c r="M701" s="4" t="s">
        <v>41</v>
      </c>
      <c r="N701" s="4" t="s">
        <v>192</v>
      </c>
      <c r="O701" s="4">
        <v>5</v>
      </c>
      <c r="P701" s="4">
        <v>50</v>
      </c>
      <c r="AA701" s="10">
        <v>44977</v>
      </c>
      <c r="AB701" s="4">
        <v>1783</v>
      </c>
    </row>
    <row r="702" spans="1:28" ht="42.45" hidden="1" x14ac:dyDescent="0.35">
      <c r="A702" s="4" t="s">
        <v>45</v>
      </c>
      <c r="C702" s="4">
        <v>1010</v>
      </c>
      <c r="D702" s="4">
        <v>6</v>
      </c>
      <c r="E702" s="12" t="s">
        <v>40</v>
      </c>
      <c r="F702" s="4">
        <v>2024</v>
      </c>
      <c r="G702" s="4" t="s">
        <v>32</v>
      </c>
      <c r="H702" s="4" t="s">
        <v>55</v>
      </c>
      <c r="I702" s="4" t="s">
        <v>79</v>
      </c>
      <c r="J702" s="4" t="s">
        <v>81</v>
      </c>
      <c r="K702" s="4" t="s">
        <v>244</v>
      </c>
      <c r="L702" s="6" t="s">
        <v>48</v>
      </c>
      <c r="M702" s="4" t="s">
        <v>41</v>
      </c>
      <c r="N702" s="4" t="s">
        <v>42</v>
      </c>
      <c r="O702" s="4">
        <v>107</v>
      </c>
      <c r="P702" s="4">
        <v>179</v>
      </c>
      <c r="AA702" s="10">
        <v>44977</v>
      </c>
      <c r="AB702" s="4">
        <v>1783</v>
      </c>
    </row>
    <row r="703" spans="1:28" ht="42.45" hidden="1" x14ac:dyDescent="0.35">
      <c r="A703" s="4" t="s">
        <v>45</v>
      </c>
      <c r="C703" s="4">
        <v>1010</v>
      </c>
      <c r="D703" s="4">
        <v>6</v>
      </c>
      <c r="E703" s="12" t="s">
        <v>40</v>
      </c>
      <c r="F703" s="4">
        <v>2024</v>
      </c>
      <c r="G703" s="4" t="s">
        <v>32</v>
      </c>
      <c r="H703" s="4" t="s">
        <v>55</v>
      </c>
      <c r="I703" s="4" t="s">
        <v>79</v>
      </c>
      <c r="J703" s="4" t="s">
        <v>81</v>
      </c>
      <c r="K703" s="4" t="s">
        <v>244</v>
      </c>
      <c r="L703" s="6" t="s">
        <v>48</v>
      </c>
      <c r="M703" s="4" t="s">
        <v>41</v>
      </c>
      <c r="N703" s="4" t="s">
        <v>192</v>
      </c>
      <c r="O703" s="4">
        <v>29</v>
      </c>
      <c r="P703" s="4">
        <v>175</v>
      </c>
      <c r="AA703" s="10">
        <v>44977</v>
      </c>
      <c r="AB703" s="4">
        <v>1783</v>
      </c>
    </row>
    <row r="704" spans="1:28" ht="42.45" hidden="1" x14ac:dyDescent="0.35">
      <c r="A704" s="4" t="s">
        <v>45</v>
      </c>
      <c r="C704" s="4">
        <v>1010</v>
      </c>
      <c r="D704" s="4">
        <v>6</v>
      </c>
      <c r="E704" s="12" t="s">
        <v>40</v>
      </c>
      <c r="F704" s="4">
        <v>2024</v>
      </c>
      <c r="G704" s="4" t="s">
        <v>32</v>
      </c>
      <c r="H704" s="4" t="s">
        <v>55</v>
      </c>
      <c r="I704" s="4" t="s">
        <v>101</v>
      </c>
      <c r="J704" s="4" t="s">
        <v>102</v>
      </c>
      <c r="K704" s="4" t="s">
        <v>244</v>
      </c>
      <c r="L704" s="6" t="s">
        <v>48</v>
      </c>
      <c r="M704" s="4" t="s">
        <v>41</v>
      </c>
      <c r="N704" s="4" t="s">
        <v>42</v>
      </c>
      <c r="O704" s="4">
        <v>43</v>
      </c>
      <c r="P704" s="4">
        <v>89</v>
      </c>
      <c r="AA704" s="10">
        <v>44977</v>
      </c>
      <c r="AB704" s="4">
        <v>1783</v>
      </c>
    </row>
    <row r="705" spans="1:28" ht="42.45" hidden="1" x14ac:dyDescent="0.35">
      <c r="A705" s="4" t="s">
        <v>45</v>
      </c>
      <c r="C705" s="4">
        <v>1010</v>
      </c>
      <c r="D705" s="4">
        <v>6</v>
      </c>
      <c r="E705" s="12" t="s">
        <v>40</v>
      </c>
      <c r="F705" s="4">
        <v>2024</v>
      </c>
      <c r="G705" s="4" t="s">
        <v>32</v>
      </c>
      <c r="H705" s="4" t="s">
        <v>55</v>
      </c>
      <c r="I705" s="4" t="s">
        <v>101</v>
      </c>
      <c r="J705" s="4" t="s">
        <v>102</v>
      </c>
      <c r="K705" s="4" t="s">
        <v>244</v>
      </c>
      <c r="L705" s="6" t="s">
        <v>48</v>
      </c>
      <c r="M705" s="4" t="s">
        <v>41</v>
      </c>
      <c r="N705" s="4" t="s">
        <v>192</v>
      </c>
      <c r="O705" s="4">
        <v>14</v>
      </c>
      <c r="P705" s="4">
        <v>84</v>
      </c>
      <c r="AA705" s="10">
        <v>44977</v>
      </c>
      <c r="AB705" s="4">
        <v>1783</v>
      </c>
    </row>
    <row r="706" spans="1:28" ht="42.45" hidden="1" x14ac:dyDescent="0.35">
      <c r="A706" s="4" t="s">
        <v>45</v>
      </c>
      <c r="C706" s="4">
        <v>1010</v>
      </c>
      <c r="D706" s="4">
        <v>6</v>
      </c>
      <c r="E706" s="12" t="s">
        <v>40</v>
      </c>
      <c r="F706" s="4">
        <v>2024</v>
      </c>
      <c r="G706" s="4" t="s">
        <v>32</v>
      </c>
      <c r="H706" s="4" t="s">
        <v>55</v>
      </c>
      <c r="I706" s="4" t="s">
        <v>101</v>
      </c>
      <c r="J706" s="4" t="s">
        <v>105</v>
      </c>
      <c r="K706" s="4" t="s">
        <v>244</v>
      </c>
      <c r="L706" s="6" t="s">
        <v>48</v>
      </c>
      <c r="M706" s="4" t="s">
        <v>41</v>
      </c>
      <c r="N706" s="4" t="s">
        <v>42</v>
      </c>
      <c r="O706" s="4">
        <v>81</v>
      </c>
      <c r="P706" s="4">
        <v>130</v>
      </c>
      <c r="AA706" s="10">
        <v>44977</v>
      </c>
      <c r="AB706" s="4">
        <v>1783</v>
      </c>
    </row>
    <row r="707" spans="1:28" ht="42.45" hidden="1" x14ac:dyDescent="0.35">
      <c r="A707" s="4" t="s">
        <v>45</v>
      </c>
      <c r="C707" s="4">
        <v>1010</v>
      </c>
      <c r="D707" s="4">
        <v>6</v>
      </c>
      <c r="E707" s="12" t="s">
        <v>40</v>
      </c>
      <c r="F707" s="4">
        <v>2024</v>
      </c>
      <c r="G707" s="4" t="s">
        <v>32</v>
      </c>
      <c r="H707" s="4" t="s">
        <v>55</v>
      </c>
      <c r="I707" s="4" t="s">
        <v>101</v>
      </c>
      <c r="J707" s="4" t="s">
        <v>105</v>
      </c>
      <c r="K707" s="4" t="s">
        <v>244</v>
      </c>
      <c r="L707" s="6" t="s">
        <v>48</v>
      </c>
      <c r="M707" s="4" t="s">
        <v>41</v>
      </c>
      <c r="N707" s="4" t="s">
        <v>192</v>
      </c>
      <c r="O707" s="4">
        <v>19</v>
      </c>
      <c r="P707" s="4">
        <v>131</v>
      </c>
      <c r="AA707" s="10">
        <v>44977</v>
      </c>
      <c r="AB707" s="4">
        <v>1783</v>
      </c>
    </row>
    <row r="708" spans="1:28" ht="42.45" hidden="1" x14ac:dyDescent="0.35">
      <c r="A708" s="4" t="s">
        <v>45</v>
      </c>
      <c r="C708" s="4">
        <v>1010</v>
      </c>
      <c r="D708" s="4">
        <v>6</v>
      </c>
      <c r="E708" s="12" t="s">
        <v>40</v>
      </c>
      <c r="F708" s="4">
        <v>2024</v>
      </c>
      <c r="G708" s="4" t="s">
        <v>32</v>
      </c>
      <c r="H708" s="4" t="s">
        <v>55</v>
      </c>
      <c r="I708" s="4" t="s">
        <v>73</v>
      </c>
      <c r="J708" s="4" t="s">
        <v>99</v>
      </c>
      <c r="K708" s="4" t="s">
        <v>244</v>
      </c>
      <c r="L708" s="6" t="s">
        <v>48</v>
      </c>
      <c r="M708" s="4" t="s">
        <v>41</v>
      </c>
      <c r="N708" s="4" t="s">
        <v>42</v>
      </c>
      <c r="O708" s="4">
        <v>112</v>
      </c>
      <c r="P708" s="4">
        <v>192</v>
      </c>
      <c r="AA708" s="10">
        <v>44977</v>
      </c>
      <c r="AB708" s="4">
        <v>1783</v>
      </c>
    </row>
    <row r="709" spans="1:28" ht="42.45" hidden="1" x14ac:dyDescent="0.35">
      <c r="A709" s="4" t="s">
        <v>45</v>
      </c>
      <c r="C709" s="4">
        <v>1010</v>
      </c>
      <c r="D709" s="4">
        <v>6</v>
      </c>
      <c r="E709" s="12" t="s">
        <v>40</v>
      </c>
      <c r="F709" s="4">
        <v>2024</v>
      </c>
      <c r="G709" s="4" t="s">
        <v>32</v>
      </c>
      <c r="H709" s="4" t="s">
        <v>55</v>
      </c>
      <c r="I709" s="4" t="s">
        <v>73</v>
      </c>
      <c r="J709" s="4" t="s">
        <v>99</v>
      </c>
      <c r="K709" s="4" t="s">
        <v>244</v>
      </c>
      <c r="L709" s="6" t="s">
        <v>48</v>
      </c>
      <c r="M709" s="4" t="s">
        <v>41</v>
      </c>
      <c r="N709" s="4" t="s">
        <v>192</v>
      </c>
      <c r="O709" s="4">
        <v>31</v>
      </c>
      <c r="P709" s="4">
        <v>188</v>
      </c>
      <c r="AA709" s="10">
        <v>44977</v>
      </c>
      <c r="AB709" s="4">
        <v>1783</v>
      </c>
    </row>
    <row r="710" spans="1:28" ht="42.45" hidden="1" x14ac:dyDescent="0.35">
      <c r="A710" s="4" t="s">
        <v>45</v>
      </c>
      <c r="C710" s="4">
        <v>1010</v>
      </c>
      <c r="D710" s="4">
        <v>6</v>
      </c>
      <c r="E710" s="12" t="s">
        <v>40</v>
      </c>
      <c r="F710" s="4">
        <v>2024</v>
      </c>
      <c r="G710" s="4" t="s">
        <v>32</v>
      </c>
      <c r="H710" s="4" t="s">
        <v>55</v>
      </c>
      <c r="I710" s="4" t="s">
        <v>73</v>
      </c>
      <c r="J710" s="4" t="s">
        <v>76</v>
      </c>
      <c r="K710" s="4" t="s">
        <v>244</v>
      </c>
      <c r="L710" s="6" t="s">
        <v>48</v>
      </c>
      <c r="M710" s="4" t="s">
        <v>41</v>
      </c>
      <c r="N710" s="4" t="s">
        <v>42</v>
      </c>
      <c r="O710" s="4">
        <v>15</v>
      </c>
      <c r="P710" s="4">
        <v>34</v>
      </c>
      <c r="AA710" s="10">
        <v>44977</v>
      </c>
      <c r="AB710" s="4">
        <v>1783</v>
      </c>
    </row>
    <row r="711" spans="1:28" ht="42.45" hidden="1" x14ac:dyDescent="0.35">
      <c r="A711" s="4" t="s">
        <v>45</v>
      </c>
      <c r="C711" s="4">
        <v>1010</v>
      </c>
      <c r="D711" s="4">
        <v>6</v>
      </c>
      <c r="E711" s="12" t="s">
        <v>40</v>
      </c>
      <c r="F711" s="4">
        <v>2024</v>
      </c>
      <c r="G711" s="4" t="s">
        <v>32</v>
      </c>
      <c r="H711" s="4" t="s">
        <v>55</v>
      </c>
      <c r="I711" s="4" t="s">
        <v>73</v>
      </c>
      <c r="J711" s="4" t="s">
        <v>76</v>
      </c>
      <c r="K711" s="4" t="s">
        <v>244</v>
      </c>
      <c r="L711" s="6" t="s">
        <v>48</v>
      </c>
      <c r="M711" s="4" t="s">
        <v>41</v>
      </c>
      <c r="N711" s="4" t="s">
        <v>192</v>
      </c>
      <c r="O711" s="4">
        <v>3</v>
      </c>
      <c r="P711" s="4">
        <v>39</v>
      </c>
      <c r="AA711" s="10">
        <v>44977</v>
      </c>
      <c r="AB711" s="4">
        <v>1783</v>
      </c>
    </row>
    <row r="712" spans="1:28" hidden="1" x14ac:dyDescent="0.35">
      <c r="A712" s="4" t="s">
        <v>45</v>
      </c>
      <c r="C712" s="4">
        <v>1030</v>
      </c>
      <c r="D712" s="4">
        <v>1</v>
      </c>
      <c r="E712" s="12" t="s">
        <v>22</v>
      </c>
      <c r="F712" s="4">
        <v>2022</v>
      </c>
      <c r="G712" s="4" t="s">
        <v>32</v>
      </c>
      <c r="H712" s="4" t="s">
        <v>87</v>
      </c>
      <c r="I712" s="4" t="s">
        <v>88</v>
      </c>
      <c r="J712" s="4" t="s">
        <v>35</v>
      </c>
      <c r="K712" s="4" t="s">
        <v>244</v>
      </c>
      <c r="L712" s="4" t="s">
        <v>98</v>
      </c>
      <c r="M712" s="4" t="s">
        <v>37</v>
      </c>
      <c r="N712" s="4" t="s">
        <v>51</v>
      </c>
      <c r="O712" s="4">
        <v>163</v>
      </c>
      <c r="P712" s="4">
        <v>176</v>
      </c>
    </row>
    <row r="713" spans="1:28" hidden="1" x14ac:dyDescent="0.35">
      <c r="A713" s="4" t="s">
        <v>45</v>
      </c>
      <c r="C713" s="4">
        <v>1030</v>
      </c>
      <c r="D713" s="4">
        <v>1</v>
      </c>
      <c r="E713" s="12" t="s">
        <v>22</v>
      </c>
      <c r="F713" s="4">
        <v>2022</v>
      </c>
      <c r="G713" s="4" t="s">
        <v>32</v>
      </c>
      <c r="H713" s="4" t="s">
        <v>87</v>
      </c>
      <c r="I713" s="4" t="s">
        <v>88</v>
      </c>
      <c r="J713" s="4" t="s">
        <v>35</v>
      </c>
      <c r="K713" s="4" t="s">
        <v>244</v>
      </c>
      <c r="L713" s="4" t="s">
        <v>98</v>
      </c>
      <c r="M713" s="4" t="s">
        <v>37</v>
      </c>
      <c r="N713" s="4" t="s">
        <v>192</v>
      </c>
      <c r="O713" s="4">
        <v>171</v>
      </c>
      <c r="P713" s="4">
        <v>176</v>
      </c>
    </row>
    <row r="714" spans="1:28" ht="42.45" hidden="1" x14ac:dyDescent="0.35">
      <c r="A714" s="4" t="s">
        <v>45</v>
      </c>
      <c r="C714" s="4">
        <v>1120</v>
      </c>
      <c r="D714" s="4">
        <v>5</v>
      </c>
      <c r="E714" s="12" t="s">
        <v>31</v>
      </c>
      <c r="F714" s="4">
        <v>2024</v>
      </c>
      <c r="G714" s="4" t="s">
        <v>32</v>
      </c>
      <c r="H714" s="4" t="s">
        <v>50</v>
      </c>
      <c r="I714" s="4" t="s">
        <v>37</v>
      </c>
      <c r="J714" s="4" t="s">
        <v>37</v>
      </c>
      <c r="K714" s="4" t="s">
        <v>244</v>
      </c>
      <c r="L714" s="6" t="s">
        <v>48</v>
      </c>
      <c r="M714" s="4" t="s">
        <v>41</v>
      </c>
      <c r="N714" s="4" t="s">
        <v>38</v>
      </c>
      <c r="O714" s="4">
        <f>P714*S714/100</f>
        <v>50.096000000000004</v>
      </c>
      <c r="P714" s="4">
        <v>202</v>
      </c>
      <c r="S714" s="4">
        <v>24.8</v>
      </c>
    </row>
    <row r="715" spans="1:28" ht="42.45" hidden="1" x14ac:dyDescent="0.35">
      <c r="A715" s="4" t="s">
        <v>45</v>
      </c>
      <c r="C715" s="4">
        <v>1120</v>
      </c>
      <c r="D715" s="4">
        <v>5</v>
      </c>
      <c r="E715" s="12" t="s">
        <v>31</v>
      </c>
      <c r="F715" s="4">
        <v>2024</v>
      </c>
      <c r="G715" s="4" t="s">
        <v>32</v>
      </c>
      <c r="H715" s="4" t="s">
        <v>50</v>
      </c>
      <c r="I715" s="4" t="s">
        <v>37</v>
      </c>
      <c r="J715" s="4" t="s">
        <v>37</v>
      </c>
      <c r="K715" s="4" t="s">
        <v>244</v>
      </c>
      <c r="L715" s="6" t="s">
        <v>48</v>
      </c>
      <c r="M715" s="4" t="s">
        <v>41</v>
      </c>
      <c r="N715" s="4" t="s">
        <v>192</v>
      </c>
      <c r="O715" s="4">
        <f>P715*S715/100</f>
        <v>2.02</v>
      </c>
      <c r="P715" s="4">
        <v>202</v>
      </c>
      <c r="S715" s="4">
        <v>1</v>
      </c>
    </row>
    <row r="716" spans="1:28" hidden="1" x14ac:dyDescent="0.35">
      <c r="A716" s="4" t="s">
        <v>205</v>
      </c>
      <c r="E716" s="11" t="s">
        <v>206</v>
      </c>
      <c r="F716" s="4">
        <v>2023</v>
      </c>
      <c r="G716" s="4" t="s">
        <v>203</v>
      </c>
      <c r="H716" s="4" t="s">
        <v>50</v>
      </c>
      <c r="I716" s="4" t="s">
        <v>37</v>
      </c>
      <c r="J716" s="4" t="s">
        <v>37</v>
      </c>
      <c r="K716" s="4" t="s">
        <v>244</v>
      </c>
      <c r="M716" s="4" t="s">
        <v>41</v>
      </c>
      <c r="N716" s="4" t="s">
        <v>209</v>
      </c>
      <c r="O716" s="4">
        <v>21</v>
      </c>
      <c r="P716" s="4">
        <v>57</v>
      </c>
    </row>
    <row r="717" spans="1:28" hidden="1" x14ac:dyDescent="0.35">
      <c r="A717" s="4" t="s">
        <v>45</v>
      </c>
      <c r="E717" s="11" t="s">
        <v>206</v>
      </c>
      <c r="F717" s="4">
        <v>2023</v>
      </c>
      <c r="G717" s="4" t="s">
        <v>203</v>
      </c>
      <c r="H717" s="4" t="s">
        <v>50</v>
      </c>
      <c r="I717" s="4" t="s">
        <v>37</v>
      </c>
      <c r="J717" s="4" t="s">
        <v>37</v>
      </c>
      <c r="K717" s="4" t="s">
        <v>244</v>
      </c>
      <c r="M717" s="4" t="s">
        <v>41</v>
      </c>
      <c r="N717" s="4" t="s">
        <v>192</v>
      </c>
      <c r="O717" s="4">
        <v>2</v>
      </c>
      <c r="P717" s="4">
        <v>29</v>
      </c>
    </row>
    <row r="718" spans="1:28" hidden="1" x14ac:dyDescent="0.35">
      <c r="A718" s="4" t="s">
        <v>45</v>
      </c>
      <c r="E718" s="12" t="s">
        <v>198</v>
      </c>
      <c r="F718" s="4">
        <v>2023</v>
      </c>
      <c r="G718" s="4" t="s">
        <v>32</v>
      </c>
      <c r="H718" s="4" t="s">
        <v>47</v>
      </c>
      <c r="I718" s="4" t="s">
        <v>41</v>
      </c>
      <c r="J718" s="4" t="s">
        <v>41</v>
      </c>
      <c r="K718" s="4" t="s">
        <v>244</v>
      </c>
      <c r="M718" s="4" t="s">
        <v>210</v>
      </c>
      <c r="N718" s="4" t="s">
        <v>211</v>
      </c>
      <c r="O718" s="4">
        <f t="shared" ref="O718:O743" si="16">P718*Q718/100</f>
        <v>14.017999999999999</v>
      </c>
      <c r="P718" s="4">
        <v>43</v>
      </c>
      <c r="Q718" s="4">
        <v>32.6</v>
      </c>
      <c r="S718" s="8">
        <v>88</v>
      </c>
      <c r="T718" s="4" t="str">
        <f>IF((P719+P718) = S718,"GOOD","BAD")</f>
        <v>GOOD</v>
      </c>
    </row>
    <row r="719" spans="1:28" hidden="1" x14ac:dyDescent="0.35">
      <c r="A719" s="4" t="s">
        <v>45</v>
      </c>
      <c r="E719" s="12" t="s">
        <v>198</v>
      </c>
      <c r="F719" s="4">
        <v>2023</v>
      </c>
      <c r="G719" s="4" t="s">
        <v>32</v>
      </c>
      <c r="H719" s="4" t="s">
        <v>47</v>
      </c>
      <c r="I719" s="4" t="s">
        <v>41</v>
      </c>
      <c r="J719" s="4" t="s">
        <v>41</v>
      </c>
      <c r="K719" s="4" t="s">
        <v>244</v>
      </c>
      <c r="M719" s="4" t="s">
        <v>210</v>
      </c>
      <c r="N719" s="4" t="s">
        <v>192</v>
      </c>
      <c r="O719" s="4">
        <f t="shared" si="16"/>
        <v>4.0049999999999999</v>
      </c>
      <c r="P719" s="4">
        <v>45</v>
      </c>
      <c r="Q719" s="4">
        <v>8.9</v>
      </c>
      <c r="S719" s="8"/>
      <c r="T719" s="4" t="s">
        <v>213</v>
      </c>
    </row>
    <row r="720" spans="1:28" x14ac:dyDescent="0.35">
      <c r="A720" s="4" t="s">
        <v>45</v>
      </c>
      <c r="E720" s="12" t="s">
        <v>198</v>
      </c>
      <c r="F720" s="4">
        <v>2023</v>
      </c>
      <c r="G720" s="4" t="s">
        <v>32</v>
      </c>
      <c r="H720" s="4" t="s">
        <v>47</v>
      </c>
      <c r="I720" s="4" t="s">
        <v>57</v>
      </c>
      <c r="J720" s="4" t="s">
        <v>54</v>
      </c>
      <c r="K720" s="4" t="s">
        <v>244</v>
      </c>
      <c r="M720" s="4" t="s">
        <v>210</v>
      </c>
      <c r="N720" s="4" t="s">
        <v>211</v>
      </c>
      <c r="O720" s="4">
        <f t="shared" si="16"/>
        <v>10.663999999999998</v>
      </c>
      <c r="P720" s="9">
        <v>31</v>
      </c>
      <c r="Q720" s="4">
        <v>34.4</v>
      </c>
      <c r="S720" s="8">
        <v>63</v>
      </c>
      <c r="T720" s="4" t="str">
        <f>IF((P721+P720) = S720,"GOOD","BAD")</f>
        <v>GOOD</v>
      </c>
    </row>
    <row r="721" spans="1:20" x14ac:dyDescent="0.35">
      <c r="A721" s="4" t="s">
        <v>45</v>
      </c>
      <c r="E721" s="12" t="s">
        <v>198</v>
      </c>
      <c r="F721" s="4">
        <v>2023</v>
      </c>
      <c r="G721" s="4" t="s">
        <v>32</v>
      </c>
      <c r="H721" s="4" t="s">
        <v>47</v>
      </c>
      <c r="I721" s="4" t="s">
        <v>57</v>
      </c>
      <c r="J721" s="4" t="s">
        <v>54</v>
      </c>
      <c r="K721" s="4" t="s">
        <v>244</v>
      </c>
      <c r="M721" s="4" t="s">
        <v>210</v>
      </c>
      <c r="N721" s="4" t="s">
        <v>192</v>
      </c>
      <c r="O721" s="4">
        <f t="shared" si="16"/>
        <v>4.1280000000000001</v>
      </c>
      <c r="P721" s="9">
        <v>32</v>
      </c>
      <c r="Q721" s="4">
        <v>12.9</v>
      </c>
      <c r="S721" s="8"/>
      <c r="T721" s="4" t="s">
        <v>213</v>
      </c>
    </row>
    <row r="722" spans="1:20" x14ac:dyDescent="0.35">
      <c r="A722" s="4" t="s">
        <v>45</v>
      </c>
      <c r="E722" s="12" t="s">
        <v>198</v>
      </c>
      <c r="F722" s="4">
        <v>2023</v>
      </c>
      <c r="G722" s="4" t="s">
        <v>32</v>
      </c>
      <c r="H722" s="4" t="s">
        <v>47</v>
      </c>
      <c r="I722" s="4" t="s">
        <v>57</v>
      </c>
      <c r="J722" s="4" t="s">
        <v>56</v>
      </c>
      <c r="K722" s="4" t="s">
        <v>244</v>
      </c>
      <c r="M722" s="4" t="s">
        <v>210</v>
      </c>
      <c r="N722" s="4" t="s">
        <v>211</v>
      </c>
      <c r="O722" s="4">
        <f t="shared" si="16"/>
        <v>3.2760000000000002</v>
      </c>
      <c r="P722" s="9">
        <v>12</v>
      </c>
      <c r="Q722" s="4">
        <v>27.3</v>
      </c>
      <c r="S722" s="8">
        <v>25</v>
      </c>
      <c r="T722" s="4" t="str">
        <f>IF((P723+P722) = S722,"GOOD","BAD")</f>
        <v>GOOD</v>
      </c>
    </row>
    <row r="723" spans="1:20" x14ac:dyDescent="0.35">
      <c r="A723" s="4" t="s">
        <v>45</v>
      </c>
      <c r="E723" s="12" t="s">
        <v>198</v>
      </c>
      <c r="F723" s="4">
        <v>2023</v>
      </c>
      <c r="G723" s="4" t="s">
        <v>32</v>
      </c>
      <c r="H723" s="4" t="s">
        <v>47</v>
      </c>
      <c r="I723" s="4" t="s">
        <v>57</v>
      </c>
      <c r="J723" s="4" t="s">
        <v>56</v>
      </c>
      <c r="K723" s="4" t="s">
        <v>244</v>
      </c>
      <c r="M723" s="4" t="s">
        <v>210</v>
      </c>
      <c r="N723" s="4" t="s">
        <v>192</v>
      </c>
      <c r="O723" s="4">
        <f t="shared" si="16"/>
        <v>0</v>
      </c>
      <c r="P723" s="9">
        <v>13</v>
      </c>
      <c r="Q723" s="4">
        <v>0</v>
      </c>
      <c r="S723" s="8"/>
      <c r="T723" s="4" t="s">
        <v>213</v>
      </c>
    </row>
    <row r="724" spans="1:20" hidden="1" x14ac:dyDescent="0.35">
      <c r="A724" s="4" t="s">
        <v>45</v>
      </c>
      <c r="E724" s="12" t="s">
        <v>198</v>
      </c>
      <c r="F724" s="4">
        <v>2023</v>
      </c>
      <c r="G724" s="4" t="s">
        <v>32</v>
      </c>
      <c r="H724" s="4" t="s">
        <v>47</v>
      </c>
      <c r="I724" s="4" t="s">
        <v>58</v>
      </c>
      <c r="J724" s="4" t="s">
        <v>63</v>
      </c>
      <c r="K724" s="4" t="s">
        <v>244</v>
      </c>
      <c r="M724" s="4" t="s">
        <v>210</v>
      </c>
      <c r="N724" s="4" t="s">
        <v>211</v>
      </c>
      <c r="O724" s="4">
        <f t="shared" si="16"/>
        <v>12.001999999999999</v>
      </c>
      <c r="P724" s="4">
        <v>34</v>
      </c>
      <c r="Q724" s="4">
        <v>35.299999999999997</v>
      </c>
      <c r="S724" s="8">
        <v>74</v>
      </c>
      <c r="T724" s="4" t="str">
        <f>IF((P725+P724) = S724,"GOOD","BAD")</f>
        <v>GOOD</v>
      </c>
    </row>
    <row r="725" spans="1:20" hidden="1" x14ac:dyDescent="0.35">
      <c r="A725" s="4" t="s">
        <v>45</v>
      </c>
      <c r="E725" s="12" t="s">
        <v>198</v>
      </c>
      <c r="F725" s="4">
        <v>2023</v>
      </c>
      <c r="G725" s="4" t="s">
        <v>32</v>
      </c>
      <c r="H725" s="4" t="s">
        <v>47</v>
      </c>
      <c r="I725" s="4" t="s">
        <v>58</v>
      </c>
      <c r="J725" s="4" t="s">
        <v>63</v>
      </c>
      <c r="K725" s="4" t="s">
        <v>244</v>
      </c>
      <c r="M725" s="4" t="s">
        <v>210</v>
      </c>
      <c r="N725" s="4" t="s">
        <v>192</v>
      </c>
      <c r="O725" s="4">
        <f t="shared" si="16"/>
        <v>4</v>
      </c>
      <c r="P725" s="4">
        <v>40</v>
      </c>
      <c r="Q725" s="4">
        <v>10</v>
      </c>
      <c r="S725" s="8"/>
      <c r="T725" s="4" t="s">
        <v>213</v>
      </c>
    </row>
    <row r="726" spans="1:20" hidden="1" x14ac:dyDescent="0.35">
      <c r="A726" s="4" t="s">
        <v>45</v>
      </c>
      <c r="E726" s="12" t="s">
        <v>198</v>
      </c>
      <c r="F726" s="4">
        <v>2023</v>
      </c>
      <c r="G726" s="4" t="s">
        <v>32</v>
      </c>
      <c r="H726" s="4" t="s">
        <v>47</v>
      </c>
      <c r="I726" s="4" t="s">
        <v>58</v>
      </c>
      <c r="J726" s="4" t="s">
        <v>59</v>
      </c>
      <c r="K726" s="4" t="s">
        <v>244</v>
      </c>
      <c r="M726" s="4" t="s">
        <v>210</v>
      </c>
      <c r="N726" s="4" t="s">
        <v>211</v>
      </c>
      <c r="O726" s="4">
        <f t="shared" si="16"/>
        <v>1.9979999999999998</v>
      </c>
      <c r="P726" s="4">
        <v>9</v>
      </c>
      <c r="Q726" s="4">
        <v>22.2</v>
      </c>
      <c r="S726" s="8">
        <v>14</v>
      </c>
      <c r="T726" s="4" t="str">
        <f>IF((P727+P726) = S726,"GOOD","BAD")</f>
        <v>GOOD</v>
      </c>
    </row>
    <row r="727" spans="1:20" hidden="1" x14ac:dyDescent="0.35">
      <c r="A727" s="4" t="s">
        <v>45</v>
      </c>
      <c r="E727" s="12" t="s">
        <v>198</v>
      </c>
      <c r="F727" s="4">
        <v>2023</v>
      </c>
      <c r="G727" s="4" t="s">
        <v>32</v>
      </c>
      <c r="H727" s="4" t="s">
        <v>47</v>
      </c>
      <c r="I727" s="4" t="s">
        <v>58</v>
      </c>
      <c r="J727" s="4" t="s">
        <v>59</v>
      </c>
      <c r="K727" s="4" t="s">
        <v>244</v>
      </c>
      <c r="M727" s="4" t="s">
        <v>210</v>
      </c>
      <c r="N727" s="4" t="s">
        <v>192</v>
      </c>
      <c r="O727" s="4">
        <f t="shared" si="16"/>
        <v>0</v>
      </c>
      <c r="P727" s="4">
        <v>5</v>
      </c>
      <c r="Q727" s="4">
        <v>0</v>
      </c>
      <c r="S727" s="8"/>
      <c r="T727" s="4" t="s">
        <v>213</v>
      </c>
    </row>
    <row r="728" spans="1:20" hidden="1" x14ac:dyDescent="0.35">
      <c r="A728" s="4" t="s">
        <v>45</v>
      </c>
      <c r="E728" s="12" t="s">
        <v>198</v>
      </c>
      <c r="F728" s="4">
        <v>2023</v>
      </c>
      <c r="G728" s="4" t="s">
        <v>32</v>
      </c>
      <c r="H728" s="4" t="s">
        <v>47</v>
      </c>
      <c r="I728" s="4" t="s">
        <v>77</v>
      </c>
      <c r="J728" s="4" t="s">
        <v>84</v>
      </c>
      <c r="K728" s="4" t="s">
        <v>244</v>
      </c>
      <c r="M728" s="4" t="s">
        <v>210</v>
      </c>
      <c r="N728" s="4" t="s">
        <v>211</v>
      </c>
      <c r="O728" s="4">
        <f t="shared" si="16"/>
        <v>9</v>
      </c>
      <c r="P728" s="4">
        <v>30</v>
      </c>
      <c r="Q728" s="4">
        <v>30</v>
      </c>
      <c r="S728" s="8">
        <v>66</v>
      </c>
      <c r="T728" s="4" t="str">
        <f>IF((P729+P728) = S728,"GOOD","BAD")</f>
        <v>GOOD</v>
      </c>
    </row>
    <row r="729" spans="1:20" hidden="1" x14ac:dyDescent="0.35">
      <c r="A729" s="4" t="s">
        <v>45</v>
      </c>
      <c r="E729" s="12" t="s">
        <v>198</v>
      </c>
      <c r="F729" s="4">
        <v>2023</v>
      </c>
      <c r="G729" s="4" t="s">
        <v>32</v>
      </c>
      <c r="H729" s="4" t="s">
        <v>47</v>
      </c>
      <c r="I729" s="4" t="s">
        <v>77</v>
      </c>
      <c r="J729" s="4" t="s">
        <v>84</v>
      </c>
      <c r="K729" s="4" t="s">
        <v>244</v>
      </c>
      <c r="M729" s="4" t="s">
        <v>210</v>
      </c>
      <c r="N729" s="4" t="s">
        <v>192</v>
      </c>
      <c r="O729" s="4">
        <f t="shared" si="16"/>
        <v>2.988</v>
      </c>
      <c r="P729" s="4">
        <v>36</v>
      </c>
      <c r="Q729" s="4">
        <v>8.3000000000000007</v>
      </c>
      <c r="S729" s="8"/>
      <c r="T729" s="4" t="s">
        <v>213</v>
      </c>
    </row>
    <row r="730" spans="1:20" hidden="1" x14ac:dyDescent="0.35">
      <c r="A730" s="4" t="s">
        <v>45</v>
      </c>
      <c r="E730" s="12" t="s">
        <v>198</v>
      </c>
      <c r="F730" s="4">
        <v>2023</v>
      </c>
      <c r="G730" s="4" t="s">
        <v>32</v>
      </c>
      <c r="H730" s="4" t="s">
        <v>47</v>
      </c>
      <c r="I730" s="4" t="s">
        <v>77</v>
      </c>
      <c r="J730" s="4" t="s">
        <v>85</v>
      </c>
      <c r="K730" s="4" t="s">
        <v>244</v>
      </c>
      <c r="M730" s="4" t="s">
        <v>210</v>
      </c>
      <c r="N730" s="4" t="s">
        <v>211</v>
      </c>
      <c r="O730" s="4">
        <f t="shared" si="16"/>
        <v>5.0049999999999999</v>
      </c>
      <c r="P730" s="4">
        <v>13</v>
      </c>
      <c r="Q730" s="4">
        <v>38.5</v>
      </c>
      <c r="S730" s="8">
        <v>22</v>
      </c>
      <c r="T730" s="4" t="str">
        <f>IF((P731+P730) = S730,"GOOD","BAD")</f>
        <v>GOOD</v>
      </c>
    </row>
    <row r="731" spans="1:20" hidden="1" x14ac:dyDescent="0.35">
      <c r="A731" s="4" t="s">
        <v>45</v>
      </c>
      <c r="E731" s="12" t="s">
        <v>198</v>
      </c>
      <c r="F731" s="4">
        <v>2023</v>
      </c>
      <c r="G731" s="4" t="s">
        <v>32</v>
      </c>
      <c r="H731" s="4" t="s">
        <v>47</v>
      </c>
      <c r="I731" s="4" t="s">
        <v>77</v>
      </c>
      <c r="J731" s="4" t="s">
        <v>85</v>
      </c>
      <c r="K731" s="4" t="s">
        <v>244</v>
      </c>
      <c r="M731" s="4" t="s">
        <v>210</v>
      </c>
      <c r="N731" s="4" t="s">
        <v>192</v>
      </c>
      <c r="O731" s="4">
        <f t="shared" si="16"/>
        <v>0.99899999999999989</v>
      </c>
      <c r="P731" s="4">
        <v>9</v>
      </c>
      <c r="Q731" s="4">
        <v>11.1</v>
      </c>
      <c r="S731" s="8"/>
      <c r="T731" s="4" t="s">
        <v>213</v>
      </c>
    </row>
    <row r="732" spans="1:20" hidden="1" x14ac:dyDescent="0.35">
      <c r="A732" s="4" t="s">
        <v>45</v>
      </c>
      <c r="E732" s="12" t="s">
        <v>198</v>
      </c>
      <c r="F732" s="4">
        <v>2023</v>
      </c>
      <c r="G732" s="4" t="s">
        <v>32</v>
      </c>
      <c r="H732" s="4" t="s">
        <v>47</v>
      </c>
      <c r="I732" s="4" t="s">
        <v>79</v>
      </c>
      <c r="J732" s="4" t="s">
        <v>81</v>
      </c>
      <c r="K732" s="4" t="s">
        <v>244</v>
      </c>
      <c r="M732" s="4" t="s">
        <v>210</v>
      </c>
      <c r="N732" s="4" t="s">
        <v>211</v>
      </c>
      <c r="O732" s="4">
        <f t="shared" si="16"/>
        <v>9.99</v>
      </c>
      <c r="P732" s="4">
        <v>27</v>
      </c>
      <c r="Q732" s="4">
        <v>37</v>
      </c>
      <c r="S732" s="8">
        <v>59</v>
      </c>
      <c r="T732" s="4" t="str">
        <f>IF((P733+P732) = S732,"GOOD","BAD")</f>
        <v>GOOD</v>
      </c>
    </row>
    <row r="733" spans="1:20" hidden="1" x14ac:dyDescent="0.35">
      <c r="A733" s="4" t="s">
        <v>45</v>
      </c>
      <c r="E733" s="12" t="s">
        <v>198</v>
      </c>
      <c r="F733" s="4">
        <v>2023</v>
      </c>
      <c r="G733" s="4" t="s">
        <v>32</v>
      </c>
      <c r="H733" s="4" t="s">
        <v>47</v>
      </c>
      <c r="I733" s="4" t="s">
        <v>79</v>
      </c>
      <c r="J733" s="4" t="s">
        <v>81</v>
      </c>
      <c r="K733" s="4" t="s">
        <v>244</v>
      </c>
      <c r="M733" s="4" t="s">
        <v>210</v>
      </c>
      <c r="N733" s="4" t="s">
        <v>192</v>
      </c>
      <c r="O733" s="4">
        <f t="shared" si="16"/>
        <v>4</v>
      </c>
      <c r="P733" s="4">
        <v>32</v>
      </c>
      <c r="Q733" s="4">
        <v>12.5</v>
      </c>
      <c r="S733" s="8"/>
      <c r="T733" s="4" t="s">
        <v>213</v>
      </c>
    </row>
    <row r="734" spans="1:20" hidden="1" x14ac:dyDescent="0.35">
      <c r="A734" s="4" t="s">
        <v>45</v>
      </c>
      <c r="E734" s="12" t="s">
        <v>198</v>
      </c>
      <c r="F734" s="4">
        <v>2023</v>
      </c>
      <c r="G734" s="4" t="s">
        <v>32</v>
      </c>
      <c r="H734" s="4" t="s">
        <v>47</v>
      </c>
      <c r="I734" s="4" t="s">
        <v>79</v>
      </c>
      <c r="J734" s="4" t="s">
        <v>214</v>
      </c>
      <c r="K734" s="4" t="s">
        <v>244</v>
      </c>
      <c r="M734" s="4" t="s">
        <v>210</v>
      </c>
      <c r="N734" s="4" t="s">
        <v>211</v>
      </c>
      <c r="O734" s="4">
        <f t="shared" si="16"/>
        <v>3</v>
      </c>
      <c r="P734" s="4">
        <v>15</v>
      </c>
      <c r="Q734" s="4">
        <v>20</v>
      </c>
      <c r="S734" s="8">
        <v>26</v>
      </c>
      <c r="T734" s="4" t="str">
        <f>IF((P735+P734) = S734,"GOOD","BAD")</f>
        <v>GOOD</v>
      </c>
    </row>
    <row r="735" spans="1:20" hidden="1" x14ac:dyDescent="0.35">
      <c r="A735" s="4" t="s">
        <v>45</v>
      </c>
      <c r="E735" s="12" t="s">
        <v>198</v>
      </c>
      <c r="F735" s="4">
        <v>2023</v>
      </c>
      <c r="G735" s="4" t="s">
        <v>32</v>
      </c>
      <c r="H735" s="4" t="s">
        <v>47</v>
      </c>
      <c r="I735" s="4" t="s">
        <v>79</v>
      </c>
      <c r="J735" s="4" t="s">
        <v>214</v>
      </c>
      <c r="K735" s="4" t="s">
        <v>244</v>
      </c>
      <c r="M735" s="4" t="s">
        <v>210</v>
      </c>
      <c r="N735" s="4" t="s">
        <v>192</v>
      </c>
      <c r="O735" s="4">
        <f t="shared" si="16"/>
        <v>0</v>
      </c>
      <c r="P735" s="4">
        <v>11</v>
      </c>
      <c r="Q735" s="4">
        <v>0</v>
      </c>
      <c r="S735" s="8"/>
      <c r="T735" s="4" t="s">
        <v>213</v>
      </c>
    </row>
    <row r="736" spans="1:20" hidden="1" x14ac:dyDescent="0.35">
      <c r="A736" s="4" t="s">
        <v>45</v>
      </c>
      <c r="E736" s="12" t="s">
        <v>198</v>
      </c>
      <c r="F736" s="4">
        <v>2023</v>
      </c>
      <c r="G736" s="4" t="s">
        <v>32</v>
      </c>
      <c r="H736" s="4" t="s">
        <v>47</v>
      </c>
      <c r="I736" s="4" t="s">
        <v>73</v>
      </c>
      <c r="J736" s="4" t="s">
        <v>99</v>
      </c>
      <c r="K736" s="4" t="s">
        <v>244</v>
      </c>
      <c r="M736" s="4" t="s">
        <v>210</v>
      </c>
      <c r="N736" s="4" t="s">
        <v>211</v>
      </c>
      <c r="O736" s="4">
        <f t="shared" si="16"/>
        <v>11.005000000000001</v>
      </c>
      <c r="P736" s="4">
        <v>31</v>
      </c>
      <c r="Q736" s="4">
        <v>35.5</v>
      </c>
      <c r="S736" s="8">
        <v>68</v>
      </c>
      <c r="T736" s="4" t="str">
        <f>IF((P737+P736) = S736,"GOOD","BAD")</f>
        <v>GOOD</v>
      </c>
    </row>
    <row r="737" spans="1:40" hidden="1" x14ac:dyDescent="0.35">
      <c r="A737" s="4" t="s">
        <v>45</v>
      </c>
      <c r="E737" s="12" t="s">
        <v>198</v>
      </c>
      <c r="F737" s="4">
        <v>2023</v>
      </c>
      <c r="G737" s="4" t="s">
        <v>32</v>
      </c>
      <c r="H737" s="4" t="s">
        <v>47</v>
      </c>
      <c r="I737" s="4" t="s">
        <v>73</v>
      </c>
      <c r="J737" s="4" t="s">
        <v>99</v>
      </c>
      <c r="K737" s="4" t="s">
        <v>244</v>
      </c>
      <c r="M737" s="4" t="s">
        <v>210</v>
      </c>
      <c r="N737" s="4" t="s">
        <v>192</v>
      </c>
      <c r="O737" s="4">
        <f t="shared" si="16"/>
        <v>3.9960000000000004</v>
      </c>
      <c r="P737" s="4">
        <v>37</v>
      </c>
      <c r="Q737" s="4">
        <v>10.8</v>
      </c>
      <c r="S737" s="8"/>
      <c r="T737" s="4" t="s">
        <v>213</v>
      </c>
    </row>
    <row r="738" spans="1:40" hidden="1" x14ac:dyDescent="0.35">
      <c r="A738" s="4" t="s">
        <v>45</v>
      </c>
      <c r="E738" s="12" t="s">
        <v>198</v>
      </c>
      <c r="F738" s="4">
        <v>2023</v>
      </c>
      <c r="G738" s="4" t="s">
        <v>32</v>
      </c>
      <c r="H738" s="4" t="s">
        <v>47</v>
      </c>
      <c r="I738" s="4" t="s">
        <v>73</v>
      </c>
      <c r="J738" s="4" t="s">
        <v>76</v>
      </c>
      <c r="K738" s="4" t="s">
        <v>244</v>
      </c>
      <c r="M738" s="4" t="s">
        <v>210</v>
      </c>
      <c r="N738" s="4" t="s">
        <v>211</v>
      </c>
      <c r="O738" s="4">
        <f t="shared" si="16"/>
        <v>3</v>
      </c>
      <c r="P738" s="4">
        <v>12</v>
      </c>
      <c r="Q738" s="4">
        <v>25</v>
      </c>
      <c r="S738" s="8">
        <v>20</v>
      </c>
      <c r="T738" s="4" t="str">
        <f>IF((P739+P738) = S738,"GOOD","BAD")</f>
        <v>GOOD</v>
      </c>
    </row>
    <row r="739" spans="1:40" hidden="1" x14ac:dyDescent="0.35">
      <c r="A739" s="4" t="s">
        <v>45</v>
      </c>
      <c r="E739" s="12" t="s">
        <v>198</v>
      </c>
      <c r="F739" s="4">
        <v>2023</v>
      </c>
      <c r="G739" s="4" t="s">
        <v>32</v>
      </c>
      <c r="H739" s="4" t="s">
        <v>47</v>
      </c>
      <c r="I739" s="4" t="s">
        <v>73</v>
      </c>
      <c r="J739" s="4" t="s">
        <v>76</v>
      </c>
      <c r="K739" s="4" t="s">
        <v>244</v>
      </c>
      <c r="M739" s="4" t="s">
        <v>210</v>
      </c>
      <c r="N739" s="4" t="s">
        <v>192</v>
      </c>
      <c r="O739" s="4">
        <f t="shared" si="16"/>
        <v>0</v>
      </c>
      <c r="P739" s="4">
        <v>8</v>
      </c>
      <c r="Q739" s="4">
        <v>0</v>
      </c>
      <c r="S739" s="8"/>
      <c r="T739" s="4" t="s">
        <v>213</v>
      </c>
    </row>
    <row r="740" spans="1:40" hidden="1" x14ac:dyDescent="0.35">
      <c r="A740" s="4" t="s">
        <v>45</v>
      </c>
      <c r="E740" s="12" t="s">
        <v>198</v>
      </c>
      <c r="F740" s="4">
        <v>2023</v>
      </c>
      <c r="G740" s="4" t="s">
        <v>32</v>
      </c>
      <c r="H740" s="4" t="s">
        <v>47</v>
      </c>
      <c r="I740" s="4" t="s">
        <v>101</v>
      </c>
      <c r="J740" s="4" t="s">
        <v>102</v>
      </c>
      <c r="K740" s="4" t="s">
        <v>244</v>
      </c>
      <c r="M740" s="4" t="s">
        <v>210</v>
      </c>
      <c r="N740" s="4" t="s">
        <v>211</v>
      </c>
      <c r="O740" s="4">
        <f t="shared" si="16"/>
        <v>3.9969999999999999</v>
      </c>
      <c r="P740" s="4">
        <v>7</v>
      </c>
      <c r="Q740" s="4">
        <v>57.1</v>
      </c>
      <c r="S740" s="8">
        <v>15</v>
      </c>
      <c r="T740" s="4" t="str">
        <f>IF((P741+P740) = S740,"GOOD","BAD")</f>
        <v>GOOD</v>
      </c>
    </row>
    <row r="741" spans="1:40" hidden="1" x14ac:dyDescent="0.35">
      <c r="A741" s="4" t="s">
        <v>45</v>
      </c>
      <c r="E741" s="12" t="s">
        <v>198</v>
      </c>
      <c r="F741" s="4">
        <v>2023</v>
      </c>
      <c r="G741" s="4" t="s">
        <v>32</v>
      </c>
      <c r="H741" s="4" t="s">
        <v>47</v>
      </c>
      <c r="I741" s="4" t="s">
        <v>101</v>
      </c>
      <c r="J741" s="4" t="s">
        <v>102</v>
      </c>
      <c r="K741" s="4" t="s">
        <v>244</v>
      </c>
      <c r="M741" s="4" t="s">
        <v>210</v>
      </c>
      <c r="N741" s="4" t="s">
        <v>192</v>
      </c>
      <c r="O741" s="4">
        <f t="shared" si="16"/>
        <v>1</v>
      </c>
      <c r="P741" s="4">
        <v>8</v>
      </c>
      <c r="Q741" s="4">
        <v>12.5</v>
      </c>
      <c r="S741" s="8"/>
      <c r="T741" s="4" t="s">
        <v>213</v>
      </c>
    </row>
    <row r="742" spans="1:40" hidden="1" x14ac:dyDescent="0.35">
      <c r="A742" s="4" t="s">
        <v>45</v>
      </c>
      <c r="E742" s="12" t="s">
        <v>198</v>
      </c>
      <c r="F742" s="4">
        <v>2023</v>
      </c>
      <c r="G742" s="4" t="s">
        <v>32</v>
      </c>
      <c r="H742" s="4" t="s">
        <v>47</v>
      </c>
      <c r="I742" s="4" t="s">
        <v>101</v>
      </c>
      <c r="J742" s="4" t="s">
        <v>105</v>
      </c>
      <c r="K742" s="4" t="s">
        <v>244</v>
      </c>
      <c r="M742" s="4" t="s">
        <v>210</v>
      </c>
      <c r="N742" s="4" t="s">
        <v>211</v>
      </c>
      <c r="O742" s="4">
        <f t="shared" si="16"/>
        <v>9.0079999999999991</v>
      </c>
      <c r="P742" s="4">
        <v>16</v>
      </c>
      <c r="Q742" s="4">
        <v>56.3</v>
      </c>
      <c r="S742" s="8">
        <v>27</v>
      </c>
      <c r="T742" s="4" t="str">
        <f>IF((P743+P742) = S742,"GOOD","BAD")</f>
        <v>GOOD</v>
      </c>
    </row>
    <row r="743" spans="1:40" hidden="1" x14ac:dyDescent="0.35">
      <c r="A743" s="4" t="s">
        <v>45</v>
      </c>
      <c r="E743" s="12" t="s">
        <v>198</v>
      </c>
      <c r="F743" s="4">
        <v>2023</v>
      </c>
      <c r="G743" s="4" t="s">
        <v>32</v>
      </c>
      <c r="H743" s="4" t="s">
        <v>47</v>
      </c>
      <c r="I743" s="4" t="s">
        <v>225</v>
      </c>
      <c r="J743" s="4" t="s">
        <v>105</v>
      </c>
      <c r="K743" s="4" t="s">
        <v>244</v>
      </c>
      <c r="M743" s="4" t="s">
        <v>210</v>
      </c>
      <c r="N743" s="4" t="s">
        <v>192</v>
      </c>
      <c r="O743" s="4">
        <f t="shared" si="16"/>
        <v>2.0019999999999998</v>
      </c>
      <c r="P743" s="4">
        <v>11</v>
      </c>
      <c r="Q743" s="4">
        <v>18.2</v>
      </c>
      <c r="S743" s="8"/>
      <c r="T743" s="4" t="s">
        <v>213</v>
      </c>
    </row>
    <row r="744" spans="1:40" s="13" customFormat="1" hidden="1" x14ac:dyDescent="0.35">
      <c r="A744" s="4" t="s">
        <v>45</v>
      </c>
      <c r="E744" s="11" t="s">
        <v>206</v>
      </c>
      <c r="F744" s="13">
        <v>2023</v>
      </c>
      <c r="G744" s="13" t="s">
        <v>203</v>
      </c>
      <c r="H744" s="13" t="s">
        <v>50</v>
      </c>
      <c r="I744" s="13" t="s">
        <v>237</v>
      </c>
      <c r="J744" s="14" t="s">
        <v>54</v>
      </c>
      <c r="K744" s="4" t="s">
        <v>244</v>
      </c>
      <c r="M744" s="13" t="s">
        <v>41</v>
      </c>
      <c r="N744" s="14" t="s">
        <v>53</v>
      </c>
      <c r="P744" s="14"/>
      <c r="Q744" s="14">
        <v>34.5</v>
      </c>
      <c r="R744" s="14">
        <v>12</v>
      </c>
    </row>
    <row r="745" spans="1:40" s="13" customFormat="1" hidden="1" x14ac:dyDescent="0.35">
      <c r="A745" s="4" t="s">
        <v>45</v>
      </c>
      <c r="E745" s="11" t="s">
        <v>206</v>
      </c>
      <c r="F745" s="13">
        <v>2023</v>
      </c>
      <c r="G745" s="13" t="s">
        <v>203</v>
      </c>
      <c r="H745" s="13" t="s">
        <v>50</v>
      </c>
      <c r="I745" s="13" t="s">
        <v>237</v>
      </c>
      <c r="J745" s="14" t="s">
        <v>54</v>
      </c>
      <c r="K745" s="4" t="s">
        <v>244</v>
      </c>
      <c r="M745" s="13" t="s">
        <v>41</v>
      </c>
      <c r="N745" s="14" t="s">
        <v>192</v>
      </c>
      <c r="P745" s="14"/>
      <c r="Q745" s="14">
        <v>11.1</v>
      </c>
      <c r="R745" s="14"/>
    </row>
    <row r="746" spans="1:40" s="13" customFormat="1" hidden="1" x14ac:dyDescent="0.35">
      <c r="A746" s="4" t="s">
        <v>45</v>
      </c>
      <c r="E746" s="11" t="s">
        <v>206</v>
      </c>
      <c r="F746" s="13">
        <v>2023</v>
      </c>
      <c r="G746" s="13" t="s">
        <v>203</v>
      </c>
      <c r="H746" s="13" t="s">
        <v>50</v>
      </c>
      <c r="I746" s="13" t="s">
        <v>237</v>
      </c>
      <c r="J746" s="14" t="s">
        <v>56</v>
      </c>
      <c r="K746" s="4" t="s">
        <v>244</v>
      </c>
      <c r="M746" s="13" t="s">
        <v>41</v>
      </c>
      <c r="N746" s="14" t="s">
        <v>53</v>
      </c>
      <c r="P746" s="14"/>
      <c r="Q746" s="14">
        <v>39.299999999999997</v>
      </c>
      <c r="R746" s="14">
        <v>11</v>
      </c>
    </row>
    <row r="747" spans="1:40" s="13" customFormat="1" hidden="1" x14ac:dyDescent="0.35">
      <c r="A747" s="4" t="s">
        <v>45</v>
      </c>
      <c r="E747" s="11" t="s">
        <v>206</v>
      </c>
      <c r="F747" s="13">
        <v>2023</v>
      </c>
      <c r="G747" s="13" t="s">
        <v>203</v>
      </c>
      <c r="H747" s="13" t="s">
        <v>50</v>
      </c>
      <c r="I747" s="13" t="s">
        <v>237</v>
      </c>
      <c r="J747" s="14" t="s">
        <v>56</v>
      </c>
      <c r="K747" s="4" t="s">
        <v>244</v>
      </c>
      <c r="M747" s="13" t="s">
        <v>41</v>
      </c>
      <c r="N747" s="14" t="s">
        <v>192</v>
      </c>
      <c r="O747" s="13">
        <f t="shared" ref="O747:O756" si="17">P747*Q747/100</f>
        <v>0</v>
      </c>
      <c r="Q747" s="14">
        <v>0</v>
      </c>
      <c r="R747" s="14"/>
      <c r="AN747" s="14" t="s">
        <v>235</v>
      </c>
    </row>
    <row r="748" spans="1:40" hidden="1" x14ac:dyDescent="0.35">
      <c r="A748" s="4" t="s">
        <v>45</v>
      </c>
      <c r="E748" s="11" t="s">
        <v>206</v>
      </c>
      <c r="F748" s="4">
        <v>2023</v>
      </c>
      <c r="G748" s="4" t="s">
        <v>203</v>
      </c>
      <c r="H748" s="4" t="s">
        <v>50</v>
      </c>
      <c r="I748" t="s">
        <v>58</v>
      </c>
      <c r="J748" t="s">
        <v>63</v>
      </c>
      <c r="K748" s="4" t="s">
        <v>244</v>
      </c>
      <c r="M748" s="4" t="s">
        <v>41</v>
      </c>
      <c r="N748" t="s">
        <v>53</v>
      </c>
      <c r="O748" s="4">
        <f t="shared" si="17"/>
        <v>11.016000000000002</v>
      </c>
      <c r="P748">
        <v>36</v>
      </c>
      <c r="Q748">
        <v>30.6</v>
      </c>
      <c r="R748">
        <v>11</v>
      </c>
    </row>
    <row r="749" spans="1:40" hidden="1" x14ac:dyDescent="0.35">
      <c r="A749" s="4" t="s">
        <v>45</v>
      </c>
      <c r="E749" s="11" t="s">
        <v>206</v>
      </c>
      <c r="F749" s="4">
        <v>2023</v>
      </c>
      <c r="G749" s="4" t="s">
        <v>203</v>
      </c>
      <c r="H749" s="4" t="s">
        <v>50</v>
      </c>
      <c r="I749" t="s">
        <v>58</v>
      </c>
      <c r="J749" t="s">
        <v>63</v>
      </c>
      <c r="K749" s="4" t="s">
        <v>244</v>
      </c>
      <c r="M749" s="4" t="s">
        <v>41</v>
      </c>
      <c r="N749" t="s">
        <v>192</v>
      </c>
      <c r="O749" s="4">
        <f t="shared" si="17"/>
        <v>0</v>
      </c>
      <c r="P749">
        <v>16</v>
      </c>
      <c r="Q749">
        <v>0</v>
      </c>
      <c r="R749"/>
    </row>
    <row r="750" spans="1:40" hidden="1" x14ac:dyDescent="0.35">
      <c r="A750" s="4" t="s">
        <v>45</v>
      </c>
      <c r="E750" s="11" t="s">
        <v>206</v>
      </c>
      <c r="F750" s="4">
        <v>2023</v>
      </c>
      <c r="G750" s="4" t="s">
        <v>203</v>
      </c>
      <c r="H750" s="4" t="s">
        <v>50</v>
      </c>
      <c r="I750" t="s">
        <v>58</v>
      </c>
      <c r="J750" t="s">
        <v>59</v>
      </c>
      <c r="K750" s="4" t="s">
        <v>244</v>
      </c>
      <c r="M750" s="4" t="s">
        <v>41</v>
      </c>
      <c r="N750" t="s">
        <v>53</v>
      </c>
      <c r="O750" s="4">
        <f t="shared" si="17"/>
        <v>9.9960000000000004</v>
      </c>
      <c r="P750">
        <v>21</v>
      </c>
      <c r="Q750">
        <v>47.6</v>
      </c>
      <c r="R750">
        <v>12</v>
      </c>
    </row>
    <row r="751" spans="1:40" hidden="1" x14ac:dyDescent="0.35">
      <c r="A751" s="4" t="s">
        <v>45</v>
      </c>
      <c r="E751" s="11" t="s">
        <v>206</v>
      </c>
      <c r="F751" s="4">
        <v>2023</v>
      </c>
      <c r="G751" s="4" t="s">
        <v>203</v>
      </c>
      <c r="H751" s="4" t="s">
        <v>50</v>
      </c>
      <c r="I751" t="s">
        <v>58</v>
      </c>
      <c r="J751" t="s">
        <v>59</v>
      </c>
      <c r="K751" s="4" t="s">
        <v>244</v>
      </c>
      <c r="M751" s="4" t="s">
        <v>41</v>
      </c>
      <c r="N751" t="s">
        <v>192</v>
      </c>
      <c r="O751" s="4">
        <f t="shared" si="17"/>
        <v>2.0020000000000002</v>
      </c>
      <c r="P751">
        <v>13</v>
      </c>
      <c r="Q751">
        <v>15.4</v>
      </c>
      <c r="R751"/>
    </row>
    <row r="752" spans="1:40" hidden="1" x14ac:dyDescent="0.35">
      <c r="A752" s="4" t="s">
        <v>45</v>
      </c>
      <c r="E752" s="11" t="s">
        <v>206</v>
      </c>
      <c r="F752" s="4">
        <v>2023</v>
      </c>
      <c r="G752" s="4" t="s">
        <v>203</v>
      </c>
      <c r="H752" s="4" t="s">
        <v>50</v>
      </c>
      <c r="I752" t="s">
        <v>224</v>
      </c>
      <c r="J752" t="s">
        <v>221</v>
      </c>
      <c r="K752" s="4" t="s">
        <v>244</v>
      </c>
      <c r="M752" s="4" t="s">
        <v>41</v>
      </c>
      <c r="N752" t="s">
        <v>53</v>
      </c>
      <c r="O752" s="4">
        <f t="shared" si="17"/>
        <v>4.9949999999999992</v>
      </c>
      <c r="P752">
        <v>15</v>
      </c>
      <c r="Q752">
        <v>33.299999999999997</v>
      </c>
      <c r="R752">
        <v>6</v>
      </c>
    </row>
    <row r="753" spans="1:18" hidden="1" x14ac:dyDescent="0.35">
      <c r="A753" s="4" t="s">
        <v>45</v>
      </c>
      <c r="E753" s="11" t="s">
        <v>206</v>
      </c>
      <c r="F753" s="4">
        <v>2023</v>
      </c>
      <c r="G753" s="4" t="s">
        <v>203</v>
      </c>
      <c r="H753" s="4" t="s">
        <v>50</v>
      </c>
      <c r="I753" t="s">
        <v>224</v>
      </c>
      <c r="J753" t="s">
        <v>221</v>
      </c>
      <c r="K753" s="4" t="s">
        <v>244</v>
      </c>
      <c r="M753" s="4" t="s">
        <v>41</v>
      </c>
      <c r="N753" t="s">
        <v>192</v>
      </c>
      <c r="O753" s="4">
        <f t="shared" si="17"/>
        <v>1</v>
      </c>
      <c r="P753">
        <v>10</v>
      </c>
      <c r="Q753">
        <v>10</v>
      </c>
      <c r="R753"/>
    </row>
    <row r="754" spans="1:18" hidden="1" x14ac:dyDescent="0.35">
      <c r="A754" s="4" t="s">
        <v>45</v>
      </c>
      <c r="E754" s="11" t="s">
        <v>206</v>
      </c>
      <c r="F754" s="4">
        <v>2023</v>
      </c>
      <c r="G754" s="4" t="s">
        <v>203</v>
      </c>
      <c r="H754" s="4" t="s">
        <v>50</v>
      </c>
      <c r="I754" t="s">
        <v>224</v>
      </c>
      <c r="J754" t="s">
        <v>217</v>
      </c>
      <c r="K754" s="4" t="s">
        <v>244</v>
      </c>
      <c r="M754" s="4" t="s">
        <v>41</v>
      </c>
      <c r="N754" t="s">
        <v>53</v>
      </c>
      <c r="O754" s="4">
        <f t="shared" si="17"/>
        <v>16.001999999999999</v>
      </c>
      <c r="P754">
        <v>42</v>
      </c>
      <c r="Q754">
        <v>38.1</v>
      </c>
      <c r="R754">
        <v>17</v>
      </c>
    </row>
    <row r="755" spans="1:18" hidden="1" x14ac:dyDescent="0.35">
      <c r="A755" s="4" t="s">
        <v>45</v>
      </c>
      <c r="E755" s="11" t="s">
        <v>206</v>
      </c>
      <c r="F755" s="4">
        <v>2023</v>
      </c>
      <c r="G755" s="4" t="s">
        <v>203</v>
      </c>
      <c r="H755" s="4" t="s">
        <v>50</v>
      </c>
      <c r="I755" t="s">
        <v>224</v>
      </c>
      <c r="J755" t="s">
        <v>217</v>
      </c>
      <c r="K755" s="4" t="s">
        <v>244</v>
      </c>
      <c r="M755" s="4" t="s">
        <v>41</v>
      </c>
      <c r="N755" t="s">
        <v>192</v>
      </c>
      <c r="O755" s="4">
        <f t="shared" si="17"/>
        <v>1.0070000000000001</v>
      </c>
      <c r="P755">
        <v>19</v>
      </c>
      <c r="Q755">
        <v>5.3</v>
      </c>
      <c r="R755"/>
    </row>
    <row r="756" spans="1:18" s="13" customFormat="1" hidden="1" x14ac:dyDescent="0.35">
      <c r="A756" s="4" t="s">
        <v>45</v>
      </c>
      <c r="E756" s="11" t="s">
        <v>206</v>
      </c>
      <c r="F756" s="13">
        <v>2023</v>
      </c>
      <c r="G756" s="13" t="s">
        <v>203</v>
      </c>
      <c r="H756" s="13" t="s">
        <v>50</v>
      </c>
      <c r="I756" s="14" t="s">
        <v>73</v>
      </c>
      <c r="J756" s="14" t="s">
        <v>76</v>
      </c>
      <c r="K756" s="4" t="s">
        <v>244</v>
      </c>
      <c r="M756" s="13" t="s">
        <v>41</v>
      </c>
      <c r="N756" s="14" t="s">
        <v>53</v>
      </c>
      <c r="O756" s="13">
        <f t="shared" si="17"/>
        <v>2</v>
      </c>
      <c r="P756" s="14">
        <v>5</v>
      </c>
      <c r="Q756" s="14">
        <v>40</v>
      </c>
      <c r="R756" s="14">
        <v>2</v>
      </c>
    </row>
    <row r="757" spans="1:18" s="13" customFormat="1" hidden="1" x14ac:dyDescent="0.35">
      <c r="A757" s="4" t="s">
        <v>45</v>
      </c>
      <c r="E757" s="11" t="s">
        <v>206</v>
      </c>
      <c r="F757" s="13">
        <v>2023</v>
      </c>
      <c r="G757" s="13" t="s">
        <v>203</v>
      </c>
      <c r="H757" s="13" t="s">
        <v>50</v>
      </c>
      <c r="I757" s="14" t="s">
        <v>73</v>
      </c>
      <c r="J757" s="14" t="s">
        <v>76</v>
      </c>
      <c r="K757" s="4" t="s">
        <v>244</v>
      </c>
      <c r="M757" s="13" t="s">
        <v>41</v>
      </c>
      <c r="N757" s="14" t="s">
        <v>192</v>
      </c>
      <c r="P757" s="14"/>
      <c r="Q757" s="14" t="s">
        <v>218</v>
      </c>
      <c r="R757" s="14"/>
    </row>
    <row r="758" spans="1:18" hidden="1" x14ac:dyDescent="0.35">
      <c r="A758" s="4" t="s">
        <v>45</v>
      </c>
      <c r="E758" s="11" t="s">
        <v>206</v>
      </c>
      <c r="F758" s="4">
        <v>2023</v>
      </c>
      <c r="G758" s="4" t="s">
        <v>203</v>
      </c>
      <c r="H758" s="4" t="s">
        <v>50</v>
      </c>
      <c r="I758" t="s">
        <v>73</v>
      </c>
      <c r="J758" t="s">
        <v>75</v>
      </c>
      <c r="K758" s="4" t="s">
        <v>244</v>
      </c>
      <c r="M758" s="4" t="s">
        <v>41</v>
      </c>
      <c r="N758" t="s">
        <v>53</v>
      </c>
      <c r="O758" s="4">
        <f t="shared" ref="O758:O773" si="18">P758*Q758/100</f>
        <v>8.9979999999999993</v>
      </c>
      <c r="P758">
        <v>22</v>
      </c>
      <c r="Q758">
        <v>40.9</v>
      </c>
      <c r="R758">
        <v>9</v>
      </c>
    </row>
    <row r="759" spans="1:18" hidden="1" x14ac:dyDescent="0.35">
      <c r="A759" s="4" t="s">
        <v>45</v>
      </c>
      <c r="E759" s="11" t="s">
        <v>206</v>
      </c>
      <c r="F759" s="4">
        <v>2023</v>
      </c>
      <c r="G759" s="4" t="s">
        <v>203</v>
      </c>
      <c r="H759" s="4" t="s">
        <v>50</v>
      </c>
      <c r="I759" t="s">
        <v>73</v>
      </c>
      <c r="J759" t="s">
        <v>75</v>
      </c>
      <c r="K759" s="4" t="s">
        <v>244</v>
      </c>
      <c r="M759" s="4" t="s">
        <v>41</v>
      </c>
      <c r="N759" t="s">
        <v>192</v>
      </c>
      <c r="O759" s="4">
        <f t="shared" si="18"/>
        <v>0</v>
      </c>
      <c r="P759">
        <v>8</v>
      </c>
      <c r="Q759">
        <v>0</v>
      </c>
      <c r="R759"/>
    </row>
    <row r="760" spans="1:18" hidden="1" x14ac:dyDescent="0.35">
      <c r="A760" s="4" t="s">
        <v>45</v>
      </c>
      <c r="E760" s="11" t="s">
        <v>206</v>
      </c>
      <c r="F760" s="4">
        <v>2023</v>
      </c>
      <c r="G760" s="4" t="s">
        <v>203</v>
      </c>
      <c r="H760" s="4" t="s">
        <v>50</v>
      </c>
      <c r="I760" t="s">
        <v>73</v>
      </c>
      <c r="J760" t="s">
        <v>74</v>
      </c>
      <c r="K760" s="4" t="s">
        <v>244</v>
      </c>
      <c r="M760" s="4" t="s">
        <v>41</v>
      </c>
      <c r="N760" t="s">
        <v>53</v>
      </c>
      <c r="O760" s="4">
        <f t="shared" si="18"/>
        <v>9.9899999999999984</v>
      </c>
      <c r="P760">
        <v>30</v>
      </c>
      <c r="Q760">
        <v>33.299999999999997</v>
      </c>
      <c r="R760">
        <v>12</v>
      </c>
    </row>
    <row r="761" spans="1:18" hidden="1" x14ac:dyDescent="0.35">
      <c r="A761" s="4" t="s">
        <v>45</v>
      </c>
      <c r="E761" s="11" t="s">
        <v>206</v>
      </c>
      <c r="F761" s="4">
        <v>2023</v>
      </c>
      <c r="G761" s="4" t="s">
        <v>203</v>
      </c>
      <c r="H761" s="4" t="s">
        <v>50</v>
      </c>
      <c r="I761" t="s">
        <v>73</v>
      </c>
      <c r="J761" t="s">
        <v>74</v>
      </c>
      <c r="K761" s="4" t="s">
        <v>244</v>
      </c>
      <c r="M761" s="4" t="s">
        <v>41</v>
      </c>
      <c r="N761" t="s">
        <v>192</v>
      </c>
      <c r="O761" s="4">
        <f t="shared" si="18"/>
        <v>1.9950000000000001</v>
      </c>
      <c r="P761">
        <v>21</v>
      </c>
      <c r="Q761">
        <v>9.5</v>
      </c>
      <c r="R761"/>
    </row>
    <row r="762" spans="1:18" s="12" customFormat="1" hidden="1" x14ac:dyDescent="0.35">
      <c r="A762" s="4" t="s">
        <v>45</v>
      </c>
      <c r="B762" s="4"/>
      <c r="C762" s="4"/>
      <c r="D762" s="4"/>
      <c r="E762" s="11" t="s">
        <v>206</v>
      </c>
      <c r="F762" s="4">
        <v>2023</v>
      </c>
      <c r="G762" s="4" t="s">
        <v>203</v>
      </c>
      <c r="H762" s="4" t="s">
        <v>50</v>
      </c>
      <c r="I762" s="11" t="s">
        <v>79</v>
      </c>
      <c r="J762" s="11" t="s">
        <v>80</v>
      </c>
      <c r="K762" s="4" t="s">
        <v>244</v>
      </c>
      <c r="M762" s="12" t="s">
        <v>41</v>
      </c>
      <c r="N762" s="11" t="s">
        <v>53</v>
      </c>
      <c r="O762" s="12">
        <f t="shared" si="18"/>
        <v>14.003999999999998</v>
      </c>
      <c r="P762" s="11">
        <v>36</v>
      </c>
      <c r="Q762" s="11">
        <v>38.9</v>
      </c>
      <c r="R762" s="11">
        <v>14</v>
      </c>
    </row>
    <row r="763" spans="1:18" s="12" customFormat="1" hidden="1" x14ac:dyDescent="0.35">
      <c r="A763" s="4" t="s">
        <v>45</v>
      </c>
      <c r="B763" s="4"/>
      <c r="C763" s="4"/>
      <c r="D763" s="4"/>
      <c r="E763" s="11" t="s">
        <v>206</v>
      </c>
      <c r="F763" s="4">
        <v>2023</v>
      </c>
      <c r="G763" s="4" t="s">
        <v>203</v>
      </c>
      <c r="H763" s="4" t="s">
        <v>50</v>
      </c>
      <c r="I763" s="11" t="s">
        <v>79</v>
      </c>
      <c r="J763" s="11" t="s">
        <v>80</v>
      </c>
      <c r="K763" s="4" t="s">
        <v>244</v>
      </c>
      <c r="M763" s="12" t="s">
        <v>41</v>
      </c>
      <c r="N763" s="11" t="s">
        <v>192</v>
      </c>
      <c r="O763" s="12">
        <f t="shared" si="18"/>
        <v>0</v>
      </c>
      <c r="P763" s="11">
        <v>15</v>
      </c>
      <c r="Q763" s="11">
        <v>0</v>
      </c>
      <c r="R763" s="11"/>
    </row>
    <row r="764" spans="1:18" hidden="1" x14ac:dyDescent="0.35">
      <c r="A764" s="4" t="s">
        <v>45</v>
      </c>
      <c r="E764" s="11" t="s">
        <v>206</v>
      </c>
      <c r="F764" s="4">
        <v>2023</v>
      </c>
      <c r="G764" s="4" t="s">
        <v>203</v>
      </c>
      <c r="H764" s="4" t="s">
        <v>50</v>
      </c>
      <c r="I764" t="s">
        <v>79</v>
      </c>
      <c r="J764" t="s">
        <v>81</v>
      </c>
      <c r="K764" s="4" t="s">
        <v>244</v>
      </c>
      <c r="M764" s="4" t="s">
        <v>41</v>
      </c>
      <c r="N764" t="s">
        <v>53</v>
      </c>
      <c r="O764" s="4">
        <f t="shared" si="18"/>
        <v>6.9929999999999994</v>
      </c>
      <c r="P764">
        <v>21</v>
      </c>
      <c r="Q764">
        <v>33.299999999999997</v>
      </c>
      <c r="R764">
        <v>9</v>
      </c>
    </row>
    <row r="765" spans="1:18" hidden="1" x14ac:dyDescent="0.35">
      <c r="A765" s="4" t="s">
        <v>45</v>
      </c>
      <c r="E765" s="11" t="s">
        <v>206</v>
      </c>
      <c r="F765" s="4">
        <v>2023</v>
      </c>
      <c r="G765" s="4" t="s">
        <v>203</v>
      </c>
      <c r="H765" s="4" t="s">
        <v>50</v>
      </c>
      <c r="I765" t="s">
        <v>79</v>
      </c>
      <c r="J765" t="s">
        <v>81</v>
      </c>
      <c r="K765" s="4" t="s">
        <v>244</v>
      </c>
      <c r="M765" s="4" t="s">
        <v>41</v>
      </c>
      <c r="N765" t="s">
        <v>192</v>
      </c>
      <c r="O765" s="4">
        <f t="shared" si="18"/>
        <v>2.0020000000000002</v>
      </c>
      <c r="P765">
        <v>14</v>
      </c>
      <c r="Q765">
        <v>14.3</v>
      </c>
      <c r="R765"/>
    </row>
    <row r="766" spans="1:18" s="12" customFormat="1" hidden="1" x14ac:dyDescent="0.35">
      <c r="A766" s="4" t="s">
        <v>45</v>
      </c>
      <c r="B766" s="4"/>
      <c r="C766" s="4"/>
      <c r="D766" s="4"/>
      <c r="E766" s="11" t="s">
        <v>206</v>
      </c>
      <c r="F766" s="4">
        <v>2023</v>
      </c>
      <c r="G766" s="4" t="s">
        <v>203</v>
      </c>
      <c r="H766" s="4" t="s">
        <v>50</v>
      </c>
      <c r="I766" s="11" t="s">
        <v>229</v>
      </c>
      <c r="J766" s="11" t="s">
        <v>219</v>
      </c>
      <c r="K766" s="4" t="s">
        <v>244</v>
      </c>
      <c r="M766" s="12" t="s">
        <v>41</v>
      </c>
      <c r="N766" s="11" t="s">
        <v>53</v>
      </c>
      <c r="O766" s="12">
        <f t="shared" si="18"/>
        <v>4.992</v>
      </c>
      <c r="P766" s="11">
        <v>16</v>
      </c>
      <c r="Q766" s="11">
        <v>31.2</v>
      </c>
      <c r="R766" s="11">
        <v>6</v>
      </c>
    </row>
    <row r="767" spans="1:18" s="12" customFormat="1" hidden="1" x14ac:dyDescent="0.35">
      <c r="A767" s="4" t="s">
        <v>45</v>
      </c>
      <c r="B767" s="4"/>
      <c r="C767" s="4"/>
      <c r="D767" s="4"/>
      <c r="E767" s="11" t="s">
        <v>206</v>
      </c>
      <c r="F767" s="4">
        <v>2023</v>
      </c>
      <c r="G767" s="4" t="s">
        <v>203</v>
      </c>
      <c r="H767" s="4" t="s">
        <v>50</v>
      </c>
      <c r="I767" s="11" t="s">
        <v>229</v>
      </c>
      <c r="J767" s="11" t="s">
        <v>219</v>
      </c>
      <c r="K767" s="4" t="s">
        <v>244</v>
      </c>
      <c r="M767" s="12" t="s">
        <v>41</v>
      </c>
      <c r="N767" s="11" t="s">
        <v>192</v>
      </c>
      <c r="O767" s="12">
        <f t="shared" si="18"/>
        <v>1.0010000000000001</v>
      </c>
      <c r="P767" s="11">
        <v>13</v>
      </c>
      <c r="Q767" s="11">
        <v>7.7</v>
      </c>
      <c r="R767" s="11"/>
    </row>
    <row r="768" spans="1:18" hidden="1" x14ac:dyDescent="0.35">
      <c r="A768" s="4" t="s">
        <v>45</v>
      </c>
      <c r="E768" s="11" t="s">
        <v>206</v>
      </c>
      <c r="F768" s="4">
        <v>2023</v>
      </c>
      <c r="G768" s="4" t="s">
        <v>203</v>
      </c>
      <c r="H768" s="4" t="s">
        <v>50</v>
      </c>
      <c r="I768" t="s">
        <v>229</v>
      </c>
      <c r="J768" t="s">
        <v>220</v>
      </c>
      <c r="K768" s="4" t="s">
        <v>244</v>
      </c>
      <c r="M768" s="4" t="s">
        <v>41</v>
      </c>
      <c r="N768" t="s">
        <v>53</v>
      </c>
      <c r="O768" s="4">
        <f t="shared" si="18"/>
        <v>15.99</v>
      </c>
      <c r="P768">
        <v>41</v>
      </c>
      <c r="Q768">
        <v>39</v>
      </c>
      <c r="R768">
        <v>17</v>
      </c>
    </row>
    <row r="769" spans="1:18" hidden="1" x14ac:dyDescent="0.35">
      <c r="A769" s="4" t="s">
        <v>45</v>
      </c>
      <c r="E769" s="11" t="s">
        <v>206</v>
      </c>
      <c r="F769" s="4">
        <v>2023</v>
      </c>
      <c r="G769" s="4" t="s">
        <v>203</v>
      </c>
      <c r="H769" s="4" t="s">
        <v>50</v>
      </c>
      <c r="I769" t="s">
        <v>229</v>
      </c>
      <c r="J769" t="s">
        <v>220</v>
      </c>
      <c r="K769" s="4" t="s">
        <v>244</v>
      </c>
      <c r="M769" s="4" t="s">
        <v>41</v>
      </c>
      <c r="N769" t="s">
        <v>192</v>
      </c>
      <c r="O769" s="4">
        <f t="shared" si="18"/>
        <v>0.99199999999999999</v>
      </c>
      <c r="P769">
        <v>16</v>
      </c>
      <c r="Q769">
        <v>6.2</v>
      </c>
      <c r="R769"/>
    </row>
    <row r="770" spans="1:18" hidden="1" x14ac:dyDescent="0.35">
      <c r="A770" s="4" t="s">
        <v>45</v>
      </c>
      <c r="E770" s="11" t="s">
        <v>206</v>
      </c>
      <c r="F770" s="4">
        <v>2023</v>
      </c>
      <c r="G770" s="4" t="s">
        <v>203</v>
      </c>
      <c r="H770" s="4" t="s">
        <v>50</v>
      </c>
      <c r="I770" t="s">
        <v>227</v>
      </c>
      <c r="J770" t="s">
        <v>222</v>
      </c>
      <c r="K770" s="4" t="s">
        <v>244</v>
      </c>
      <c r="M770" s="4" t="s">
        <v>41</v>
      </c>
      <c r="N770" t="s">
        <v>53</v>
      </c>
      <c r="O770" s="4">
        <f t="shared" si="18"/>
        <v>7.9989999999999997</v>
      </c>
      <c r="P770">
        <v>19</v>
      </c>
      <c r="Q770">
        <v>42.1</v>
      </c>
      <c r="R770">
        <v>8</v>
      </c>
    </row>
    <row r="771" spans="1:18" hidden="1" x14ac:dyDescent="0.35">
      <c r="A771" s="4" t="s">
        <v>45</v>
      </c>
      <c r="E771" s="11" t="s">
        <v>206</v>
      </c>
      <c r="F771" s="4">
        <v>2023</v>
      </c>
      <c r="G771" s="4" t="s">
        <v>203</v>
      </c>
      <c r="H771" s="4" t="s">
        <v>50</v>
      </c>
      <c r="I771" t="s">
        <v>227</v>
      </c>
      <c r="J771" t="s">
        <v>222</v>
      </c>
      <c r="K771" s="4" t="s">
        <v>244</v>
      </c>
      <c r="M771" s="4" t="s">
        <v>41</v>
      </c>
      <c r="N771" t="s">
        <v>192</v>
      </c>
      <c r="O771" s="4">
        <f t="shared" si="18"/>
        <v>0</v>
      </c>
      <c r="P771">
        <v>5</v>
      </c>
      <c r="Q771">
        <v>0</v>
      </c>
      <c r="R771"/>
    </row>
    <row r="772" spans="1:18" hidden="1" x14ac:dyDescent="0.35">
      <c r="A772" s="4" t="s">
        <v>45</v>
      </c>
      <c r="E772" s="11" t="s">
        <v>206</v>
      </c>
      <c r="F772" s="4">
        <v>2023</v>
      </c>
      <c r="G772" s="4" t="s">
        <v>203</v>
      </c>
      <c r="H772" s="4" t="s">
        <v>50</v>
      </c>
      <c r="I772" t="s">
        <v>227</v>
      </c>
      <c r="J772" t="s">
        <v>223</v>
      </c>
      <c r="K772" s="4" t="s">
        <v>244</v>
      </c>
      <c r="M772" s="4" t="s">
        <v>41</v>
      </c>
      <c r="N772" t="s">
        <v>53</v>
      </c>
      <c r="O772" s="4">
        <f t="shared" si="18"/>
        <v>8.0079999999999991</v>
      </c>
      <c r="P772">
        <v>22</v>
      </c>
      <c r="Q772">
        <v>36.4</v>
      </c>
      <c r="R772">
        <v>9</v>
      </c>
    </row>
    <row r="773" spans="1:18" hidden="1" x14ac:dyDescent="0.35">
      <c r="A773" s="4" t="s">
        <v>45</v>
      </c>
      <c r="E773" s="11" t="s">
        <v>206</v>
      </c>
      <c r="F773" s="4">
        <v>2023</v>
      </c>
      <c r="G773" s="4" t="s">
        <v>203</v>
      </c>
      <c r="H773" s="4" t="s">
        <v>50</v>
      </c>
      <c r="I773" t="s">
        <v>227</v>
      </c>
      <c r="J773" t="s">
        <v>223</v>
      </c>
      <c r="K773" s="4" t="s">
        <v>244</v>
      </c>
      <c r="M773" s="4" t="s">
        <v>41</v>
      </c>
      <c r="N773" t="s">
        <v>192</v>
      </c>
      <c r="O773" s="4">
        <f t="shared" si="18"/>
        <v>1.1000000000000001</v>
      </c>
      <c r="P773">
        <v>11</v>
      </c>
      <c r="Q773">
        <v>10</v>
      </c>
      <c r="R773"/>
    </row>
    <row r="774" spans="1:18" s="13" customFormat="1" hidden="1" x14ac:dyDescent="0.35">
      <c r="A774" s="13" t="s">
        <v>45</v>
      </c>
      <c r="E774" s="11" t="s">
        <v>206</v>
      </c>
      <c r="F774" s="13">
        <v>2023</v>
      </c>
      <c r="G774" s="13" t="s">
        <v>203</v>
      </c>
      <c r="H774" s="13" t="s">
        <v>50</v>
      </c>
      <c r="I774" s="14" t="s">
        <v>236</v>
      </c>
      <c r="J774" s="14" t="s">
        <v>233</v>
      </c>
      <c r="K774" s="4" t="s">
        <v>244</v>
      </c>
      <c r="M774" s="13" t="s">
        <v>41</v>
      </c>
      <c r="N774" s="14" t="s">
        <v>53</v>
      </c>
      <c r="P774" s="14"/>
      <c r="Q774" s="14">
        <v>53.3</v>
      </c>
      <c r="R774" s="14">
        <v>17</v>
      </c>
    </row>
    <row r="775" spans="1:18" s="13" customFormat="1" hidden="1" x14ac:dyDescent="0.35">
      <c r="A775" s="13" t="s">
        <v>45</v>
      </c>
      <c r="E775" s="11" t="s">
        <v>206</v>
      </c>
      <c r="F775" s="13">
        <v>2023</v>
      </c>
      <c r="G775" s="13" t="s">
        <v>203</v>
      </c>
      <c r="H775" s="13" t="s">
        <v>50</v>
      </c>
      <c r="I775" s="14" t="s">
        <v>236</v>
      </c>
      <c r="J775" s="14" t="s">
        <v>233</v>
      </c>
      <c r="K775" s="4" t="s">
        <v>244</v>
      </c>
      <c r="M775" s="13" t="s">
        <v>41</v>
      </c>
      <c r="N775" s="14" t="s">
        <v>192</v>
      </c>
      <c r="P775" s="14"/>
      <c r="Q775" s="14">
        <v>6.7</v>
      </c>
      <c r="R775" s="14"/>
    </row>
    <row r="776" spans="1:18" s="13" customFormat="1" hidden="1" x14ac:dyDescent="0.35">
      <c r="A776" s="13" t="s">
        <v>45</v>
      </c>
      <c r="E776" s="11" t="s">
        <v>206</v>
      </c>
      <c r="F776" s="13">
        <v>2023</v>
      </c>
      <c r="G776" s="13" t="s">
        <v>203</v>
      </c>
      <c r="H776" s="13" t="s">
        <v>50</v>
      </c>
      <c r="I776" s="14" t="s">
        <v>247</v>
      </c>
      <c r="J776" s="14" t="s">
        <v>234</v>
      </c>
      <c r="K776" s="4" t="s">
        <v>244</v>
      </c>
      <c r="M776" s="13" t="s">
        <v>41</v>
      </c>
      <c r="N776" s="14" t="s">
        <v>53</v>
      </c>
      <c r="P776" s="14"/>
      <c r="Q776" s="14">
        <v>15</v>
      </c>
      <c r="R776" s="14">
        <v>3</v>
      </c>
    </row>
    <row r="777" spans="1:18" s="13" customFormat="1" hidden="1" x14ac:dyDescent="0.35">
      <c r="A777" s="13" t="s">
        <v>45</v>
      </c>
      <c r="E777" s="11" t="s">
        <v>206</v>
      </c>
      <c r="F777" s="13">
        <v>2023</v>
      </c>
      <c r="G777" s="13" t="s">
        <v>203</v>
      </c>
      <c r="H777" s="13" t="s">
        <v>50</v>
      </c>
      <c r="I777" s="14" t="s">
        <v>247</v>
      </c>
      <c r="J777" s="14" t="s">
        <v>234</v>
      </c>
      <c r="K777" s="4" t="s">
        <v>244</v>
      </c>
      <c r="M777" s="13" t="s">
        <v>41</v>
      </c>
      <c r="N777" s="14" t="s">
        <v>192</v>
      </c>
      <c r="P777" s="14"/>
      <c r="Q777" s="14">
        <v>0</v>
      </c>
      <c r="R777" s="14"/>
    </row>
    <row r="778" spans="1:18" hidden="1" x14ac:dyDescent="0.35">
      <c r="A778" s="4" t="s">
        <v>45</v>
      </c>
      <c r="E778" s="11" t="s">
        <v>206</v>
      </c>
      <c r="F778" s="4">
        <v>2023</v>
      </c>
      <c r="G778" s="4" t="s">
        <v>203</v>
      </c>
      <c r="H778" s="4" t="s">
        <v>50</v>
      </c>
      <c r="I778" t="s">
        <v>73</v>
      </c>
      <c r="J778" s="4" t="s">
        <v>240</v>
      </c>
      <c r="K778" s="4" t="s">
        <v>244</v>
      </c>
      <c r="M778" s="4" t="s">
        <v>41</v>
      </c>
      <c r="N778" t="s">
        <v>53</v>
      </c>
      <c r="O778" s="4">
        <v>19</v>
      </c>
      <c r="P778" s="4">
        <v>52</v>
      </c>
    </row>
    <row r="779" spans="1:18" hidden="1" x14ac:dyDescent="0.35">
      <c r="A779" s="4" t="s">
        <v>45</v>
      </c>
      <c r="E779" s="11" t="s">
        <v>206</v>
      </c>
      <c r="F779" s="4">
        <v>2023</v>
      </c>
      <c r="G779" s="4" t="s">
        <v>203</v>
      </c>
      <c r="H779" s="4" t="s">
        <v>50</v>
      </c>
      <c r="I779" t="s">
        <v>73</v>
      </c>
      <c r="J779" s="4" t="s">
        <v>240</v>
      </c>
      <c r="K779" s="4" t="s">
        <v>244</v>
      </c>
      <c r="M779" s="4" t="s">
        <v>41</v>
      </c>
      <c r="N779" t="s">
        <v>192</v>
      </c>
      <c r="O779" s="4">
        <v>2</v>
      </c>
      <c r="P779" s="4">
        <v>29</v>
      </c>
    </row>
    <row r="780" spans="1:18" ht="42.45" hidden="1" x14ac:dyDescent="0.35">
      <c r="A780" s="4" t="s">
        <v>45</v>
      </c>
      <c r="C780" s="4">
        <v>1130</v>
      </c>
      <c r="D780" s="4">
        <v>3</v>
      </c>
      <c r="E780" s="12" t="s">
        <v>46</v>
      </c>
      <c r="F780" s="4">
        <v>2023</v>
      </c>
      <c r="G780" s="4" t="s">
        <v>32</v>
      </c>
      <c r="H780" s="4" t="s">
        <v>47</v>
      </c>
      <c r="I780" s="4" t="s">
        <v>73</v>
      </c>
      <c r="J780" s="4" t="s">
        <v>240</v>
      </c>
      <c r="K780" s="4" t="s">
        <v>244</v>
      </c>
      <c r="L780" s="6" t="s">
        <v>48</v>
      </c>
      <c r="M780" s="4" t="s">
        <v>41</v>
      </c>
      <c r="N780" s="4" t="s">
        <v>49</v>
      </c>
      <c r="O780" s="4">
        <f>O104+O112</f>
        <v>61.05</v>
      </c>
      <c r="P780" s="4">
        <f>P104+P112</f>
        <v>315</v>
      </c>
    </row>
    <row r="781" spans="1:18" ht="42.45" hidden="1" x14ac:dyDescent="0.35">
      <c r="A781" s="4" t="s">
        <v>45</v>
      </c>
      <c r="C781" s="4">
        <v>1130</v>
      </c>
      <c r="D781" s="4">
        <v>3</v>
      </c>
      <c r="E781" s="12" t="s">
        <v>46</v>
      </c>
      <c r="F781" s="4">
        <v>2023</v>
      </c>
      <c r="G781" s="4" t="s">
        <v>32</v>
      </c>
      <c r="H781" s="4" t="s">
        <v>47</v>
      </c>
      <c r="I781" s="4" t="s">
        <v>73</v>
      </c>
      <c r="J781" s="4" t="s">
        <v>240</v>
      </c>
      <c r="K781" s="4" t="s">
        <v>244</v>
      </c>
      <c r="L781" s="6" t="s">
        <v>48</v>
      </c>
      <c r="M781" s="4" t="s">
        <v>41</v>
      </c>
      <c r="N781" s="4" t="s">
        <v>192</v>
      </c>
      <c r="O781" s="4">
        <f>O105+O113</f>
        <v>16.032</v>
      </c>
      <c r="P781" s="4">
        <f>P105+P113</f>
        <v>318</v>
      </c>
    </row>
    <row r="782" spans="1:18" hidden="1" x14ac:dyDescent="0.35">
      <c r="A782" s="4" t="s">
        <v>45</v>
      </c>
      <c r="E782" s="12" t="s">
        <v>198</v>
      </c>
      <c r="F782" s="4">
        <v>2023</v>
      </c>
      <c r="G782" s="4" t="s">
        <v>32</v>
      </c>
      <c r="H782" s="4" t="s">
        <v>47</v>
      </c>
      <c r="I782" s="4" t="s">
        <v>79</v>
      </c>
      <c r="J782" s="4" t="s">
        <v>241</v>
      </c>
      <c r="K782" s="4" t="s">
        <v>245</v>
      </c>
      <c r="M782" s="4" t="s">
        <v>37</v>
      </c>
      <c r="N782" s="4" t="s">
        <v>211</v>
      </c>
      <c r="O782" s="4">
        <f t="shared" ref="O782:O783" si="19">P782*Q782/100</f>
        <v>3</v>
      </c>
      <c r="P782" s="4">
        <v>15</v>
      </c>
      <c r="Q782" s="4">
        <v>20</v>
      </c>
    </row>
    <row r="783" spans="1:18" hidden="1" x14ac:dyDescent="0.35">
      <c r="A783" s="4" t="s">
        <v>45</v>
      </c>
      <c r="E783" s="12" t="s">
        <v>198</v>
      </c>
      <c r="F783" s="4">
        <v>2023</v>
      </c>
      <c r="G783" s="4" t="s">
        <v>32</v>
      </c>
      <c r="H783" s="4" t="s">
        <v>47</v>
      </c>
      <c r="I783" s="4" t="s">
        <v>79</v>
      </c>
      <c r="J783" s="4" t="s">
        <v>241</v>
      </c>
      <c r="K783" s="4" t="s">
        <v>245</v>
      </c>
      <c r="M783" s="4" t="s">
        <v>37</v>
      </c>
      <c r="N783" s="4" t="s">
        <v>192</v>
      </c>
      <c r="O783" s="4">
        <f t="shared" si="19"/>
        <v>0</v>
      </c>
      <c r="P783" s="4">
        <v>11</v>
      </c>
      <c r="Q783" s="4">
        <v>0</v>
      </c>
    </row>
    <row r="784" spans="1:18" hidden="1" x14ac:dyDescent="0.35">
      <c r="J784" s="4" t="s">
        <v>248</v>
      </c>
    </row>
    <row r="785" spans="1:16" ht="42.45" hidden="1" x14ac:dyDescent="0.35">
      <c r="A785" s="4" t="s">
        <v>45</v>
      </c>
      <c r="C785" s="4">
        <v>1130</v>
      </c>
      <c r="D785" s="4">
        <v>3</v>
      </c>
      <c r="E785" s="12" t="s">
        <v>46</v>
      </c>
      <c r="F785" s="4">
        <v>2023</v>
      </c>
      <c r="G785" s="4" t="s">
        <v>32</v>
      </c>
      <c r="H785" s="4" t="s">
        <v>47</v>
      </c>
      <c r="I785" s="4" t="s">
        <v>101</v>
      </c>
      <c r="J785" s="4" t="s">
        <v>249</v>
      </c>
      <c r="K785" s="4" t="s">
        <v>245</v>
      </c>
      <c r="L785" s="6" t="s">
        <v>48</v>
      </c>
      <c r="M785" s="4" t="s">
        <v>41</v>
      </c>
      <c r="N785" s="4" t="s">
        <v>49</v>
      </c>
      <c r="O785" s="4">
        <f>O218+O234</f>
        <v>51.980000000000004</v>
      </c>
      <c r="P785" s="4">
        <f>P234+P218</f>
        <v>244</v>
      </c>
    </row>
    <row r="786" spans="1:16" ht="42.45" hidden="1" x14ac:dyDescent="0.35">
      <c r="A786" s="4" t="s">
        <v>45</v>
      </c>
      <c r="C786" s="4">
        <v>1130</v>
      </c>
      <c r="D786" s="4">
        <v>3</v>
      </c>
      <c r="E786" s="12" t="s">
        <v>46</v>
      </c>
      <c r="F786" s="4">
        <v>2023</v>
      </c>
      <c r="G786" s="4" t="s">
        <v>32</v>
      </c>
      <c r="H786" s="4" t="s">
        <v>47</v>
      </c>
      <c r="I786" s="4" t="s">
        <v>101</v>
      </c>
      <c r="J786" s="4" t="s">
        <v>249</v>
      </c>
      <c r="K786" s="4" t="s">
        <v>245</v>
      </c>
      <c r="L786" s="6" t="s">
        <v>48</v>
      </c>
      <c r="M786" s="4" t="s">
        <v>41</v>
      </c>
      <c r="N786" s="4" t="s">
        <v>192</v>
      </c>
      <c r="O786" s="4">
        <f>O219+O235</f>
        <v>11.987000000000002</v>
      </c>
      <c r="P786" s="4">
        <f>P235+P219</f>
        <v>249</v>
      </c>
    </row>
    <row r="787" spans="1:16" s="20" customFormat="1" hidden="1" x14ac:dyDescent="0.35">
      <c r="A787" s="20" t="s">
        <v>45</v>
      </c>
      <c r="C787" s="20">
        <v>1030</v>
      </c>
      <c r="D787" s="20">
        <v>1</v>
      </c>
      <c r="E787" s="20" t="s">
        <v>197</v>
      </c>
      <c r="F787" s="20">
        <v>2022</v>
      </c>
      <c r="G787" s="20" t="s">
        <v>32</v>
      </c>
      <c r="H787" s="20" t="s">
        <v>50</v>
      </c>
      <c r="I787" s="20" t="s">
        <v>251</v>
      </c>
      <c r="J787" s="20" t="s">
        <v>253</v>
      </c>
      <c r="K787" s="20" t="s">
        <v>245</v>
      </c>
      <c r="M787" s="20" t="s">
        <v>252</v>
      </c>
      <c r="N787" s="20" t="s">
        <v>192</v>
      </c>
      <c r="O787" s="20">
        <f>O10</f>
        <v>3.9380000000000002</v>
      </c>
      <c r="P787" s="20">
        <f>P10</f>
        <v>179</v>
      </c>
    </row>
    <row r="788" spans="1:16" s="20" customFormat="1" hidden="1" x14ac:dyDescent="0.35">
      <c r="A788" s="20" t="s">
        <v>45</v>
      </c>
      <c r="C788" s="20">
        <v>1030</v>
      </c>
      <c r="D788" s="20">
        <v>1</v>
      </c>
      <c r="E788" s="20" t="s">
        <v>22</v>
      </c>
      <c r="F788" s="20">
        <v>2022</v>
      </c>
      <c r="G788" s="20" t="s">
        <v>32</v>
      </c>
      <c r="H788" s="20" t="s">
        <v>50</v>
      </c>
      <c r="I788" s="20" t="s">
        <v>251</v>
      </c>
      <c r="J788" s="20" t="s">
        <v>253</v>
      </c>
      <c r="K788" s="20" t="s">
        <v>245</v>
      </c>
      <c r="M788" s="20" t="s">
        <v>252</v>
      </c>
      <c r="N788" s="20" t="s">
        <v>51</v>
      </c>
      <c r="O788" s="20">
        <f>O11</f>
        <v>42.96</v>
      </c>
      <c r="P788" s="20">
        <f>P11</f>
        <v>179</v>
      </c>
    </row>
    <row r="789" spans="1:16" s="20" customFormat="1" hidden="1" x14ac:dyDescent="0.35">
      <c r="A789" s="4" t="s">
        <v>45</v>
      </c>
      <c r="B789" s="4"/>
      <c r="C789" s="4"/>
      <c r="D789" s="4"/>
      <c r="E789" s="11" t="s">
        <v>206</v>
      </c>
      <c r="F789" s="4">
        <v>2023</v>
      </c>
      <c r="G789" s="4" t="s">
        <v>203</v>
      </c>
      <c r="H789" s="4" t="s">
        <v>50</v>
      </c>
      <c r="I789" s="20" t="s">
        <v>251</v>
      </c>
      <c r="J789" s="20" t="s">
        <v>253</v>
      </c>
      <c r="K789" s="20" t="s">
        <v>245</v>
      </c>
      <c r="M789" s="20" t="s">
        <v>41</v>
      </c>
      <c r="N789" s="20" t="s">
        <v>209</v>
      </c>
      <c r="O789" s="20">
        <f t="shared" ref="O789:P792" si="20">O716</f>
        <v>21</v>
      </c>
      <c r="P789" s="20">
        <f t="shared" si="20"/>
        <v>57</v>
      </c>
    </row>
    <row r="790" spans="1:16" s="20" customFormat="1" hidden="1" x14ac:dyDescent="0.35">
      <c r="A790" s="4" t="s">
        <v>45</v>
      </c>
      <c r="B790" s="4"/>
      <c r="C790" s="4"/>
      <c r="D790" s="4"/>
      <c r="E790" s="11" t="s">
        <v>206</v>
      </c>
      <c r="F790" s="4">
        <v>2023</v>
      </c>
      <c r="G790" s="4" t="s">
        <v>203</v>
      </c>
      <c r="H790" s="4" t="s">
        <v>50</v>
      </c>
      <c r="I790" s="20" t="s">
        <v>251</v>
      </c>
      <c r="J790" s="20" t="s">
        <v>253</v>
      </c>
      <c r="K790" s="20" t="s">
        <v>245</v>
      </c>
      <c r="M790" s="20" t="s">
        <v>41</v>
      </c>
      <c r="N790" s="20" t="s">
        <v>192</v>
      </c>
      <c r="O790" s="20">
        <f t="shared" si="20"/>
        <v>2</v>
      </c>
      <c r="P790" s="20">
        <f t="shared" si="20"/>
        <v>29</v>
      </c>
    </row>
    <row r="791" spans="1:16" s="20" customFormat="1" hidden="1" x14ac:dyDescent="0.35">
      <c r="A791" s="4" t="s">
        <v>45</v>
      </c>
      <c r="B791" s="4"/>
      <c r="C791" s="4"/>
      <c r="D791" s="4"/>
      <c r="E791" s="12" t="s">
        <v>198</v>
      </c>
      <c r="F791" s="4">
        <v>2023</v>
      </c>
      <c r="G791" s="4" t="s">
        <v>32</v>
      </c>
      <c r="H791" s="4" t="s">
        <v>47</v>
      </c>
      <c r="I791" s="20" t="s">
        <v>251</v>
      </c>
      <c r="J791" s="20" t="s">
        <v>253</v>
      </c>
      <c r="K791" s="20" t="s">
        <v>245</v>
      </c>
      <c r="M791" s="20" t="s">
        <v>37</v>
      </c>
      <c r="N791" s="20" t="s">
        <v>211</v>
      </c>
      <c r="O791" s="20">
        <f t="shared" si="20"/>
        <v>14.017999999999999</v>
      </c>
      <c r="P791" s="20">
        <f t="shared" si="20"/>
        <v>43</v>
      </c>
    </row>
    <row r="792" spans="1:16" s="20" customFormat="1" hidden="1" x14ac:dyDescent="0.35">
      <c r="A792" s="4" t="s">
        <v>45</v>
      </c>
      <c r="B792" s="4"/>
      <c r="C792" s="4"/>
      <c r="D792" s="4"/>
      <c r="E792" s="12" t="s">
        <v>198</v>
      </c>
      <c r="F792" s="4">
        <v>2023</v>
      </c>
      <c r="G792" s="4" t="s">
        <v>32</v>
      </c>
      <c r="H792" s="4" t="s">
        <v>47</v>
      </c>
      <c r="I792" s="20" t="s">
        <v>251</v>
      </c>
      <c r="J792" s="20" t="s">
        <v>253</v>
      </c>
      <c r="K792" s="20" t="s">
        <v>245</v>
      </c>
      <c r="M792" s="20" t="s">
        <v>37</v>
      </c>
      <c r="N792" s="20" t="s">
        <v>192</v>
      </c>
      <c r="O792" s="20">
        <f t="shared" si="20"/>
        <v>4.0049999999999999</v>
      </c>
      <c r="P792" s="20">
        <f t="shared" si="20"/>
        <v>45</v>
      </c>
    </row>
    <row r="793" spans="1:16" s="20" customFormat="1" ht="42.45" hidden="1" x14ac:dyDescent="0.35">
      <c r="A793" s="20" t="s">
        <v>45</v>
      </c>
      <c r="C793" s="20">
        <v>1120</v>
      </c>
      <c r="D793" s="20">
        <v>5</v>
      </c>
      <c r="E793" s="20" t="s">
        <v>31</v>
      </c>
      <c r="F793" s="20">
        <v>2024</v>
      </c>
      <c r="G793" s="20" t="s">
        <v>32</v>
      </c>
      <c r="H793" s="20" t="s">
        <v>50</v>
      </c>
      <c r="I793" s="20" t="s">
        <v>251</v>
      </c>
      <c r="J793" s="20" t="s">
        <v>253</v>
      </c>
      <c r="K793" s="20" t="s">
        <v>245</v>
      </c>
      <c r="L793" s="21" t="s">
        <v>48</v>
      </c>
      <c r="M793" s="20" t="s">
        <v>41</v>
      </c>
      <c r="N793" s="20" t="s">
        <v>38</v>
      </c>
      <c r="O793" s="20">
        <f>O714</f>
        <v>50.096000000000004</v>
      </c>
      <c r="P793" s="20">
        <f>P714</f>
        <v>202</v>
      </c>
    </row>
    <row r="794" spans="1:16" s="20" customFormat="1" ht="42.45" hidden="1" x14ac:dyDescent="0.35">
      <c r="A794" s="20" t="s">
        <v>45</v>
      </c>
      <c r="C794" s="20">
        <v>1120</v>
      </c>
      <c r="D794" s="20">
        <v>5</v>
      </c>
      <c r="E794" s="20" t="s">
        <v>31</v>
      </c>
      <c r="F794" s="20">
        <v>2024</v>
      </c>
      <c r="G794" s="20" t="s">
        <v>32</v>
      </c>
      <c r="H794" s="20" t="s">
        <v>50</v>
      </c>
      <c r="I794" s="20" t="s">
        <v>250</v>
      </c>
      <c r="J794" s="20" t="s">
        <v>253</v>
      </c>
      <c r="K794" s="20" t="s">
        <v>245</v>
      </c>
      <c r="L794" s="21" t="s">
        <v>48</v>
      </c>
      <c r="M794" s="20" t="s">
        <v>41</v>
      </c>
      <c r="N794" s="20" t="s">
        <v>192</v>
      </c>
      <c r="O794" s="20">
        <f>O715</f>
        <v>2.02</v>
      </c>
      <c r="P794" s="20">
        <f>P715</f>
        <v>202</v>
      </c>
    </row>
    <row r="795" spans="1:16" s="20" customFormat="1" ht="42.45" hidden="1" x14ac:dyDescent="0.35">
      <c r="A795" s="20" t="s">
        <v>45</v>
      </c>
      <c r="C795" s="20">
        <v>1130</v>
      </c>
      <c r="D795" s="20">
        <v>3</v>
      </c>
      <c r="E795" s="20" t="s">
        <v>46</v>
      </c>
      <c r="F795" s="20">
        <v>2023</v>
      </c>
      <c r="G795" s="20" t="s">
        <v>32</v>
      </c>
      <c r="H795" s="20" t="s">
        <v>47</v>
      </c>
      <c r="I795" s="20" t="s">
        <v>251</v>
      </c>
      <c r="J795" s="20" t="s">
        <v>254</v>
      </c>
      <c r="K795" s="20" t="s">
        <v>245</v>
      </c>
      <c r="L795" s="21" t="s">
        <v>48</v>
      </c>
      <c r="M795" s="20" t="s">
        <v>41</v>
      </c>
      <c r="N795" s="20" t="s">
        <v>49</v>
      </c>
      <c r="O795" s="20">
        <f>O8</f>
        <v>62.951999999999998</v>
      </c>
      <c r="P795" s="20">
        <f>P8</f>
        <v>366</v>
      </c>
    </row>
    <row r="796" spans="1:16" s="20" customFormat="1" ht="12.45" hidden="1" x14ac:dyDescent="0.35">
      <c r="A796" s="20" t="s">
        <v>45</v>
      </c>
      <c r="C796" s="20">
        <v>1130</v>
      </c>
      <c r="D796" s="20">
        <v>3</v>
      </c>
      <c r="E796" s="20" t="s">
        <v>46</v>
      </c>
      <c r="F796" s="20">
        <v>2023</v>
      </c>
      <c r="G796" s="20" t="s">
        <v>32</v>
      </c>
      <c r="H796" s="20" t="s">
        <v>47</v>
      </c>
      <c r="I796" s="20" t="s">
        <v>251</v>
      </c>
      <c r="J796" s="20" t="s">
        <v>254</v>
      </c>
      <c r="K796" s="20" t="s">
        <v>245</v>
      </c>
      <c r="L796" s="21" t="s">
        <v>48</v>
      </c>
      <c r="M796" s="20" t="s">
        <v>41</v>
      </c>
      <c r="N796" s="20" t="s">
        <v>192</v>
      </c>
      <c r="O796" s="20">
        <f>O9</f>
        <v>16.082000000000001</v>
      </c>
      <c r="P796" s="20">
        <f>P9</f>
        <v>374</v>
      </c>
    </row>
    <row r="797" spans="1:16" s="20" customFormat="1" ht="42.45" hidden="1" x14ac:dyDescent="0.35">
      <c r="A797" s="20" t="s">
        <v>45</v>
      </c>
      <c r="C797" s="20">
        <v>1020</v>
      </c>
      <c r="D797" s="20">
        <v>2</v>
      </c>
      <c r="E797" s="20" t="s">
        <v>52</v>
      </c>
      <c r="F797" s="20">
        <v>2024</v>
      </c>
      <c r="G797" s="20" t="s">
        <v>32</v>
      </c>
      <c r="H797" s="20" t="s">
        <v>47</v>
      </c>
      <c r="I797" s="20" t="s">
        <v>251</v>
      </c>
      <c r="J797" s="20" t="s">
        <v>254</v>
      </c>
      <c r="K797" s="20" t="s">
        <v>245</v>
      </c>
      <c r="L797" s="6" t="s">
        <v>48</v>
      </c>
      <c r="M797" s="4" t="s">
        <v>41</v>
      </c>
      <c r="N797" s="4" t="s">
        <v>53</v>
      </c>
      <c r="O797" s="20">
        <f>O12</f>
        <v>57.936999999999998</v>
      </c>
      <c r="P797" s="20">
        <f>P12</f>
        <v>229</v>
      </c>
    </row>
    <row r="798" spans="1:16" s="20" customFormat="1" ht="42.45" hidden="1" x14ac:dyDescent="0.35">
      <c r="A798" s="20" t="s">
        <v>45</v>
      </c>
      <c r="C798" s="20">
        <v>1020</v>
      </c>
      <c r="D798" s="20">
        <v>2</v>
      </c>
      <c r="E798" s="20" t="s">
        <v>52</v>
      </c>
      <c r="F798" s="20">
        <v>2024</v>
      </c>
      <c r="G798" s="20" t="s">
        <v>32</v>
      </c>
      <c r="H798" s="20" t="s">
        <v>47</v>
      </c>
      <c r="I798" s="20" t="s">
        <v>251</v>
      </c>
      <c r="J798" s="20" t="s">
        <v>254</v>
      </c>
      <c r="K798" s="20" t="s">
        <v>245</v>
      </c>
      <c r="L798" s="6" t="s">
        <v>48</v>
      </c>
      <c r="M798" s="4" t="s">
        <v>41</v>
      </c>
      <c r="N798" s="4" t="s">
        <v>192</v>
      </c>
      <c r="O798" s="20">
        <f>O13</f>
        <v>10.904000000000002</v>
      </c>
      <c r="P798" s="20">
        <f>P13</f>
        <v>232</v>
      </c>
    </row>
    <row r="799" spans="1:16" s="20" customFormat="1" ht="42.45" hidden="1" x14ac:dyDescent="0.35">
      <c r="A799" s="20" t="s">
        <v>45</v>
      </c>
      <c r="C799" s="20">
        <v>1100</v>
      </c>
      <c r="D799" s="20">
        <v>4</v>
      </c>
      <c r="E799" s="20" t="s">
        <v>24</v>
      </c>
      <c r="F799" s="20">
        <v>2024</v>
      </c>
      <c r="G799" s="20" t="s">
        <v>32</v>
      </c>
      <c r="H799" s="20" t="s">
        <v>50</v>
      </c>
      <c r="I799" s="20" t="s">
        <v>251</v>
      </c>
      <c r="J799" s="20" t="s">
        <v>254</v>
      </c>
      <c r="K799" s="20" t="s">
        <v>245</v>
      </c>
      <c r="L799" s="21" t="s">
        <v>48</v>
      </c>
      <c r="M799" s="20" t="s">
        <v>41</v>
      </c>
      <c r="N799" s="20" t="s">
        <v>60</v>
      </c>
      <c r="O799" s="20">
        <f>O30</f>
        <v>72</v>
      </c>
      <c r="P799" s="20">
        <f>P30</f>
        <v>397</v>
      </c>
    </row>
    <row r="800" spans="1:16" s="20" customFormat="1" ht="42.45" hidden="1" x14ac:dyDescent="0.35">
      <c r="A800" s="20" t="s">
        <v>45</v>
      </c>
      <c r="C800" s="20">
        <v>1100</v>
      </c>
      <c r="D800" s="20">
        <v>4</v>
      </c>
      <c r="E800" s="20" t="s">
        <v>24</v>
      </c>
      <c r="F800" s="20">
        <v>2024</v>
      </c>
      <c r="G800" s="20" t="s">
        <v>32</v>
      </c>
      <c r="H800" s="20" t="s">
        <v>50</v>
      </c>
      <c r="I800" s="20" t="s">
        <v>251</v>
      </c>
      <c r="J800" s="20" t="s">
        <v>254</v>
      </c>
      <c r="K800" s="20" t="s">
        <v>245</v>
      </c>
      <c r="L800" s="21" t="s">
        <v>48</v>
      </c>
      <c r="M800" s="20" t="s">
        <v>41</v>
      </c>
      <c r="N800" s="20" t="s">
        <v>192</v>
      </c>
      <c r="O800" s="20">
        <f>O31</f>
        <v>16</v>
      </c>
      <c r="P800" s="20">
        <f>P31</f>
        <v>400</v>
      </c>
    </row>
  </sheetData>
  <autoFilter ref="A1:Y800" xr:uid="{631E57DE-EBE0-4137-B3CA-3E2E983F6363}">
    <filterColumn colId="8">
      <filters>
        <filter val="Age"/>
      </filters>
    </filterColumn>
  </autoFilter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AB8F-428F-4D74-AEF0-566E594075FF}">
  <dimension ref="A1:AG255"/>
  <sheetViews>
    <sheetView tabSelected="1" workbookViewId="0">
      <pane xSplit="1" topLeftCell="E1" activePane="topRight" state="frozen"/>
      <selection pane="topRight" activeCell="K18" sqref="K18"/>
    </sheetView>
  </sheetViews>
  <sheetFormatPr defaultRowHeight="14.15" x14ac:dyDescent="0.35"/>
  <cols>
    <col min="2" max="2" width="20.2109375" customWidth="1"/>
    <col min="3" max="3" width="15.28515625" customWidth="1"/>
    <col min="4" max="4" width="40.28515625" customWidth="1"/>
    <col min="5" max="5" width="24.78515625" customWidth="1"/>
    <col min="6" max="6" width="16.28515625" customWidth="1"/>
    <col min="7" max="7" width="17.92578125" style="11" customWidth="1"/>
    <col min="8" max="8" width="16.28515625" style="36" customWidth="1"/>
    <col min="9" max="9" width="16.28515625" style="38" customWidth="1"/>
    <col min="10" max="10" width="17.42578125" customWidth="1"/>
    <col min="11" max="11" width="27.7109375" bestFit="1" customWidth="1"/>
    <col min="12" max="12" width="16.42578125" customWidth="1"/>
    <col min="13" max="13" width="17.42578125" customWidth="1"/>
    <col min="14" max="14" width="20" customWidth="1"/>
    <col min="15" max="15" width="17.85546875" customWidth="1"/>
    <col min="16" max="16" width="20.5" customWidth="1"/>
    <col min="17" max="18" width="19.85546875" customWidth="1"/>
    <col min="19" max="19" width="23.85546875" customWidth="1"/>
    <col min="24" max="25" width="9.140625" style="22"/>
    <col min="28" max="29" width="17.42578125" customWidth="1"/>
    <col min="30" max="30" width="25.2109375" bestFit="1" customWidth="1"/>
    <col min="31" max="31" width="15.28515625" customWidth="1"/>
    <col min="32" max="32" width="12.7109375" customWidth="1"/>
    <col min="33" max="33" width="15" customWidth="1"/>
  </cols>
  <sheetData>
    <row r="1" spans="1:33" x14ac:dyDescent="0.35">
      <c r="A1" s="4" t="s">
        <v>177</v>
      </c>
      <c r="B1" s="4" t="s">
        <v>178</v>
      </c>
      <c r="C1" s="4" t="s">
        <v>328</v>
      </c>
      <c r="D1" s="4" t="s">
        <v>325</v>
      </c>
      <c r="E1" s="4" t="s">
        <v>265</v>
      </c>
      <c r="F1" s="4" t="s">
        <v>338</v>
      </c>
      <c r="G1" s="12" t="s">
        <v>26</v>
      </c>
      <c r="H1" s="18" t="s">
        <v>180</v>
      </c>
      <c r="I1" s="37" t="s">
        <v>329</v>
      </c>
      <c r="J1" s="4" t="s">
        <v>321</v>
      </c>
      <c r="K1" s="4" t="s">
        <v>336</v>
      </c>
      <c r="L1" s="4" t="s">
        <v>181</v>
      </c>
      <c r="M1" s="4" t="s">
        <v>182</v>
      </c>
      <c r="N1" s="4" t="s">
        <v>193</v>
      </c>
      <c r="O1" s="4" t="s">
        <v>194</v>
      </c>
      <c r="P1" s="4" t="s">
        <v>255</v>
      </c>
      <c r="Q1" s="4" t="s">
        <v>256</v>
      </c>
      <c r="S1" s="4" t="s">
        <v>331</v>
      </c>
      <c r="T1" s="4" t="s">
        <v>257</v>
      </c>
      <c r="U1" s="4" t="s">
        <v>258</v>
      </c>
      <c r="V1" s="4" t="s">
        <v>259</v>
      </c>
      <c r="W1" s="4" t="s">
        <v>332</v>
      </c>
      <c r="X1" s="20" t="s">
        <v>260</v>
      </c>
      <c r="Y1" s="20" t="s">
        <v>261</v>
      </c>
      <c r="Z1" s="4" t="s">
        <v>262</v>
      </c>
      <c r="AA1" s="4" t="s">
        <v>263</v>
      </c>
      <c r="AB1" s="4" t="s">
        <v>264</v>
      </c>
      <c r="AC1" t="s">
        <v>8</v>
      </c>
      <c r="AD1" t="s">
        <v>322</v>
      </c>
      <c r="AE1" s="4" t="s">
        <v>265</v>
      </c>
      <c r="AF1" s="4" t="s">
        <v>266</v>
      </c>
      <c r="AG1" s="4" t="s">
        <v>267</v>
      </c>
    </row>
    <row r="2" spans="1:33" x14ac:dyDescent="0.35">
      <c r="A2" t="s">
        <v>45</v>
      </c>
      <c r="F2" s="4" t="s">
        <v>337</v>
      </c>
      <c r="G2" s="12" t="s">
        <v>22</v>
      </c>
      <c r="H2" s="18"/>
      <c r="I2" s="37"/>
      <c r="J2" s="4"/>
      <c r="K2" s="4"/>
      <c r="L2" s="4" t="s">
        <v>268</v>
      </c>
      <c r="M2" s="4" t="s">
        <v>269</v>
      </c>
      <c r="N2" s="4" t="s">
        <v>37</v>
      </c>
      <c r="O2" s="4" t="s">
        <v>37</v>
      </c>
      <c r="P2" s="4" t="s">
        <v>51</v>
      </c>
      <c r="Q2" s="4" t="s">
        <v>192</v>
      </c>
      <c r="S2" s="4"/>
      <c r="T2" s="4">
        <v>0.71</v>
      </c>
      <c r="U2" s="4">
        <v>0.51</v>
      </c>
      <c r="V2" s="4">
        <v>0.98</v>
      </c>
      <c r="W2" s="4">
        <f>IF(ISBLANK(S2), 1.96, _xlfn.NORM.S.INV((1 + S2/100)/2))</f>
        <v>1.96</v>
      </c>
      <c r="X2" s="4">
        <f>(LN(U2) + LN(V2))/2</f>
        <v>-0.34677363029064256</v>
      </c>
      <c r="Y2" s="4">
        <f t="shared" ref="Y2:Y65" si="0">( LN(V2) - LN(U2))/(2*W2)</f>
        <v>0.16661781784343013</v>
      </c>
      <c r="Z2" s="4">
        <v>179</v>
      </c>
      <c r="AA2" s="4">
        <v>179</v>
      </c>
      <c r="AB2" s="4">
        <v>358</v>
      </c>
      <c r="AC2" s="4"/>
      <c r="AD2" s="4"/>
      <c r="AE2" s="4"/>
      <c r="AF2" s="4"/>
      <c r="AG2" s="4"/>
    </row>
    <row r="3" spans="1:33" x14ac:dyDescent="0.35">
      <c r="A3" t="s">
        <v>45</v>
      </c>
      <c r="F3" s="4"/>
      <c r="G3" s="12" t="s">
        <v>22</v>
      </c>
      <c r="H3" s="18"/>
      <c r="I3" s="37"/>
      <c r="J3" s="4"/>
      <c r="K3" s="4"/>
      <c r="L3" s="4" t="s">
        <v>268</v>
      </c>
      <c r="M3" s="4" t="s">
        <v>269</v>
      </c>
      <c r="N3" s="4" t="s">
        <v>58</v>
      </c>
      <c r="O3" s="4" t="s">
        <v>63</v>
      </c>
      <c r="P3" s="4" t="s">
        <v>51</v>
      </c>
      <c r="Q3" s="4" t="s">
        <v>192</v>
      </c>
      <c r="S3" s="4"/>
      <c r="T3" s="4">
        <v>0.76</v>
      </c>
      <c r="U3" s="4">
        <v>0.53</v>
      </c>
      <c r="V3" s="4">
        <v>1.0900000000000001</v>
      </c>
      <c r="W3" s="4">
        <f t="shared" ref="W3:W66" si="1">IF(ISBLANK(S3), 1.96, _xlfn.NORM.S.INV((1 + S3/100)/2))</f>
        <v>1.96</v>
      </c>
      <c r="X3" s="4">
        <f t="shared" ref="X3:X66" si="2">(LN(U3) + LN(V3))/2</f>
        <v>-0.27435028809745854</v>
      </c>
      <c r="Y3" s="4">
        <f t="shared" si="0"/>
        <v>0.18394284915230152</v>
      </c>
      <c r="Z3" s="4">
        <v>128</v>
      </c>
      <c r="AA3" s="4">
        <v>127</v>
      </c>
      <c r="AB3" s="4">
        <v>255</v>
      </c>
      <c r="AC3" s="4"/>
      <c r="AD3" s="4"/>
      <c r="AE3" s="4"/>
      <c r="AF3" s="4"/>
      <c r="AG3" s="4" t="s">
        <v>270</v>
      </c>
    </row>
    <row r="4" spans="1:33" x14ac:dyDescent="0.35">
      <c r="A4" t="s">
        <v>45</v>
      </c>
      <c r="F4" s="4"/>
      <c r="G4" s="12" t="s">
        <v>22</v>
      </c>
      <c r="H4" s="18"/>
      <c r="I4" s="37"/>
      <c r="J4" s="4"/>
      <c r="K4" s="4"/>
      <c r="L4" s="4" t="s">
        <v>268</v>
      </c>
      <c r="M4" s="4" t="s">
        <v>269</v>
      </c>
      <c r="N4" s="4" t="s">
        <v>58</v>
      </c>
      <c r="O4" s="4" t="s">
        <v>59</v>
      </c>
      <c r="P4" s="4" t="s">
        <v>51</v>
      </c>
      <c r="Q4" s="4" t="s">
        <v>192</v>
      </c>
      <c r="S4" s="4"/>
      <c r="T4" s="4">
        <v>0.52</v>
      </c>
      <c r="U4" s="4">
        <v>0.25</v>
      </c>
      <c r="V4" s="4">
        <v>1.1000000000000001</v>
      </c>
      <c r="W4" s="4">
        <f t="shared" si="1"/>
        <v>1.96</v>
      </c>
      <c r="X4" s="4">
        <f t="shared" si="2"/>
        <v>-0.64549209065778279</v>
      </c>
      <c r="Y4" s="4">
        <f t="shared" si="0"/>
        <v>0.37796034207250395</v>
      </c>
      <c r="Z4" s="4">
        <v>51</v>
      </c>
      <c r="AA4" s="4">
        <v>52</v>
      </c>
      <c r="AB4" s="4">
        <v>103</v>
      </c>
      <c r="AC4" s="4"/>
      <c r="AD4" s="4"/>
      <c r="AE4" s="4"/>
      <c r="AF4" s="4"/>
      <c r="AG4" s="4" t="s">
        <v>271</v>
      </c>
    </row>
    <row r="5" spans="1:33" x14ac:dyDescent="0.35">
      <c r="A5" t="s">
        <v>45</v>
      </c>
      <c r="F5" s="4"/>
      <c r="G5" s="12" t="s">
        <v>22</v>
      </c>
      <c r="H5" s="18"/>
      <c r="I5" s="37"/>
      <c r="J5" s="4"/>
      <c r="K5" s="4"/>
      <c r="L5" s="4" t="s">
        <v>268</v>
      </c>
      <c r="M5" s="4" t="s">
        <v>269</v>
      </c>
      <c r="N5" s="4" t="s">
        <v>65</v>
      </c>
      <c r="O5" s="4" t="s">
        <v>272</v>
      </c>
      <c r="P5" s="4" t="s">
        <v>51</v>
      </c>
      <c r="Q5" s="4" t="s">
        <v>192</v>
      </c>
      <c r="S5" s="4"/>
      <c r="T5" s="4">
        <v>0.91</v>
      </c>
      <c r="U5" s="4">
        <v>0.57999999999999996</v>
      </c>
      <c r="V5" s="4">
        <v>1.43</v>
      </c>
      <c r="W5" s="4">
        <f t="shared" si="1"/>
        <v>1.96</v>
      </c>
      <c r="X5" s="4">
        <f t="shared" si="2"/>
        <v>-9.3526365584928134E-2</v>
      </c>
      <c r="Y5" s="4">
        <f t="shared" si="0"/>
        <v>0.2302044948248694</v>
      </c>
      <c r="Z5" s="4"/>
      <c r="AA5" s="4"/>
      <c r="AB5" s="4">
        <v>169</v>
      </c>
      <c r="AC5" s="4"/>
      <c r="AD5" s="4"/>
      <c r="AE5" s="4"/>
      <c r="AF5" s="4"/>
      <c r="AG5" s="4"/>
    </row>
    <row r="6" spans="1:33" x14ac:dyDescent="0.35">
      <c r="A6" t="s">
        <v>45</v>
      </c>
      <c r="F6" s="4"/>
      <c r="G6" s="12" t="s">
        <v>22</v>
      </c>
      <c r="H6" s="18"/>
      <c r="I6" s="37"/>
      <c r="J6" s="4"/>
      <c r="K6" s="4"/>
      <c r="L6" s="4" t="s">
        <v>268</v>
      </c>
      <c r="M6" s="4" t="s">
        <v>269</v>
      </c>
      <c r="N6" s="4" t="s">
        <v>65</v>
      </c>
      <c r="O6" s="4" t="s">
        <v>273</v>
      </c>
      <c r="P6" s="4" t="s">
        <v>51</v>
      </c>
      <c r="Q6" s="4" t="s">
        <v>192</v>
      </c>
      <c r="S6" s="4"/>
      <c r="T6" s="4"/>
      <c r="U6" s="4"/>
      <c r="V6" s="4"/>
      <c r="W6" s="4">
        <f t="shared" si="1"/>
        <v>1.96</v>
      </c>
      <c r="X6" s="4"/>
      <c r="Y6" s="4"/>
      <c r="Z6" s="4"/>
      <c r="AA6" s="4"/>
      <c r="AB6" s="4">
        <v>7</v>
      </c>
      <c r="AC6" s="4"/>
      <c r="AD6" s="4"/>
      <c r="AE6" s="4"/>
      <c r="AF6" s="4"/>
      <c r="AG6" s="4"/>
    </row>
    <row r="7" spans="1:33" x14ac:dyDescent="0.35">
      <c r="A7" t="s">
        <v>45</v>
      </c>
      <c r="F7" s="4"/>
      <c r="G7" s="12" t="s">
        <v>22</v>
      </c>
      <c r="H7" s="18"/>
      <c r="I7" s="37"/>
      <c r="J7" s="4"/>
      <c r="K7" s="4"/>
      <c r="L7" s="4" t="s">
        <v>268</v>
      </c>
      <c r="M7" s="4" t="s">
        <v>269</v>
      </c>
      <c r="N7" s="4" t="s">
        <v>65</v>
      </c>
      <c r="O7" s="4" t="s">
        <v>66</v>
      </c>
      <c r="P7" s="4" t="s">
        <v>51</v>
      </c>
      <c r="Q7" s="4" t="s">
        <v>192</v>
      </c>
      <c r="S7" s="4"/>
      <c r="T7" s="4">
        <v>0.52</v>
      </c>
      <c r="U7" s="4">
        <v>0.32</v>
      </c>
      <c r="V7" s="4">
        <v>0.85</v>
      </c>
      <c r="W7" s="4">
        <f t="shared" si="1"/>
        <v>1.96</v>
      </c>
      <c r="X7" s="4">
        <f t="shared" si="2"/>
        <v>-0.65097660634306986</v>
      </c>
      <c r="Y7" s="4">
        <f t="shared" si="0"/>
        <v>0.24921310043127293</v>
      </c>
      <c r="Z7" s="4"/>
      <c r="AA7" s="4"/>
      <c r="AB7" s="4">
        <v>179</v>
      </c>
      <c r="AC7" s="4"/>
      <c r="AD7" s="4"/>
      <c r="AE7" s="4"/>
      <c r="AF7" s="4"/>
      <c r="AG7" s="4"/>
    </row>
    <row r="8" spans="1:33" x14ac:dyDescent="0.35">
      <c r="A8" t="s">
        <v>45</v>
      </c>
      <c r="F8" s="4"/>
      <c r="G8" s="12" t="s">
        <v>22</v>
      </c>
      <c r="H8" s="18"/>
      <c r="I8" s="37"/>
      <c r="J8" s="4"/>
      <c r="K8" s="4"/>
      <c r="L8" s="4" t="s">
        <v>268</v>
      </c>
      <c r="M8" s="4" t="s">
        <v>269</v>
      </c>
      <c r="N8" s="4" t="s">
        <v>68</v>
      </c>
      <c r="O8" s="4" t="s">
        <v>71</v>
      </c>
      <c r="P8" s="4" t="s">
        <v>51</v>
      </c>
      <c r="Q8" s="4" t="s">
        <v>192</v>
      </c>
      <c r="S8" s="4"/>
      <c r="T8" s="4">
        <v>0.83</v>
      </c>
      <c r="U8" s="4">
        <v>0.41</v>
      </c>
      <c r="V8" s="4">
        <v>1.67</v>
      </c>
      <c r="W8" s="4">
        <f t="shared" si="1"/>
        <v>1.96</v>
      </c>
      <c r="X8" s="4">
        <f t="shared" si="2"/>
        <v>-0.18938724642755994</v>
      </c>
      <c r="Y8" s="4">
        <f t="shared" si="0"/>
        <v>0.35827085349807336</v>
      </c>
      <c r="Z8" s="4">
        <v>41</v>
      </c>
      <c r="AA8" s="4">
        <v>50</v>
      </c>
      <c r="AB8" s="4">
        <v>91</v>
      </c>
      <c r="AC8" s="4"/>
      <c r="AD8" s="4"/>
      <c r="AE8" s="4"/>
      <c r="AF8" s="4"/>
      <c r="AG8" s="4" t="s">
        <v>271</v>
      </c>
    </row>
    <row r="9" spans="1:33" x14ac:dyDescent="0.35">
      <c r="A9" t="s">
        <v>45</v>
      </c>
      <c r="F9" s="4"/>
      <c r="G9" s="12" t="s">
        <v>22</v>
      </c>
      <c r="H9" s="18"/>
      <c r="I9" s="37"/>
      <c r="J9" s="4"/>
      <c r="K9" s="4"/>
      <c r="L9" s="4" t="s">
        <v>268</v>
      </c>
      <c r="M9" s="4" t="s">
        <v>269</v>
      </c>
      <c r="N9" s="4" t="s">
        <v>68</v>
      </c>
      <c r="O9" s="4" t="s">
        <v>70</v>
      </c>
      <c r="P9" s="4" t="s">
        <v>51</v>
      </c>
      <c r="Q9" s="4" t="s">
        <v>192</v>
      </c>
      <c r="S9" s="4"/>
      <c r="T9" s="4">
        <v>0.64</v>
      </c>
      <c r="U9" s="4">
        <v>0.32</v>
      </c>
      <c r="V9" s="4">
        <v>1.26</v>
      </c>
      <c r="W9" s="4">
        <f t="shared" si="1"/>
        <v>1.96</v>
      </c>
      <c r="X9" s="4">
        <f t="shared" si="2"/>
        <v>-0.4541612811124891</v>
      </c>
      <c r="Y9" s="4">
        <f t="shared" si="0"/>
        <v>0.34962908269177334</v>
      </c>
      <c r="Z9" s="4">
        <v>41</v>
      </c>
      <c r="AA9" s="4">
        <v>25</v>
      </c>
      <c r="AB9" s="4">
        <v>66</v>
      </c>
      <c r="AC9" s="4"/>
      <c r="AD9" s="4"/>
      <c r="AE9" s="4"/>
      <c r="AF9" s="4"/>
      <c r="AG9" s="4" t="s">
        <v>271</v>
      </c>
    </row>
    <row r="10" spans="1:33" x14ac:dyDescent="0.35">
      <c r="A10" t="s">
        <v>45</v>
      </c>
      <c r="F10" s="4"/>
      <c r="G10" s="12" t="s">
        <v>22</v>
      </c>
      <c r="H10" s="18"/>
      <c r="I10" s="37"/>
      <c r="J10" s="4"/>
      <c r="K10" s="4"/>
      <c r="L10" s="4" t="s">
        <v>268</v>
      </c>
      <c r="M10" s="4" t="s">
        <v>269</v>
      </c>
      <c r="N10" s="4" t="s">
        <v>68</v>
      </c>
      <c r="O10" s="4" t="s">
        <v>69</v>
      </c>
      <c r="P10" s="4" t="s">
        <v>51</v>
      </c>
      <c r="Q10" s="4" t="s">
        <v>192</v>
      </c>
      <c r="S10" s="4"/>
      <c r="T10" s="4">
        <v>0.54</v>
      </c>
      <c r="U10" s="4">
        <v>0.33</v>
      </c>
      <c r="V10" s="4">
        <v>0.88</v>
      </c>
      <c r="W10" s="4">
        <f t="shared" si="1"/>
        <v>1.96</v>
      </c>
      <c r="X10" s="4">
        <f t="shared" si="2"/>
        <v>-0.61824799801574803</v>
      </c>
      <c r="Y10" s="4">
        <f t="shared" si="0"/>
        <v>0.25021154413564445</v>
      </c>
      <c r="Z10" s="4">
        <v>85</v>
      </c>
      <c r="AA10" s="4">
        <v>92</v>
      </c>
      <c r="AB10" s="4">
        <v>177</v>
      </c>
      <c r="AC10" s="4"/>
      <c r="AD10" s="4"/>
      <c r="AE10" s="4"/>
      <c r="AF10" s="4"/>
      <c r="AG10" s="4" t="s">
        <v>271</v>
      </c>
    </row>
    <row r="11" spans="1:33" x14ac:dyDescent="0.35">
      <c r="A11" t="s">
        <v>45</v>
      </c>
      <c r="F11" s="4"/>
      <c r="G11" s="12" t="s">
        <v>22</v>
      </c>
      <c r="H11" s="18"/>
      <c r="I11" s="37"/>
      <c r="J11" s="4"/>
      <c r="K11" s="4"/>
      <c r="L11" s="4" t="s">
        <v>268</v>
      </c>
      <c r="M11" s="4" t="s">
        <v>269</v>
      </c>
      <c r="N11" s="4" t="s">
        <v>64</v>
      </c>
      <c r="O11" s="4">
        <v>0</v>
      </c>
      <c r="P11" s="4" t="s">
        <v>51</v>
      </c>
      <c r="Q11" s="4" t="s">
        <v>192</v>
      </c>
      <c r="S11" s="4"/>
      <c r="T11" s="4">
        <v>0.7</v>
      </c>
      <c r="U11" s="4">
        <v>0.46</v>
      </c>
      <c r="V11" s="4">
        <v>1.07</v>
      </c>
      <c r="W11" s="4">
        <f t="shared" si="1"/>
        <v>1.96</v>
      </c>
      <c r="X11" s="4">
        <f t="shared" si="2"/>
        <v>-0.35443507051259071</v>
      </c>
      <c r="Y11" s="4">
        <f t="shared" si="0"/>
        <v>0.21535393825837021</v>
      </c>
      <c r="Z11" s="4">
        <v>124</v>
      </c>
      <c r="AA11" s="4">
        <v>117</v>
      </c>
      <c r="AB11" s="4">
        <v>241</v>
      </c>
      <c r="AC11" s="4"/>
      <c r="AD11" s="4"/>
      <c r="AE11" s="4"/>
      <c r="AF11" s="4"/>
      <c r="AG11" s="4" t="s">
        <v>271</v>
      </c>
    </row>
    <row r="12" spans="1:33" x14ac:dyDescent="0.35">
      <c r="A12" t="s">
        <v>45</v>
      </c>
      <c r="F12" s="4"/>
      <c r="G12" s="12" t="s">
        <v>22</v>
      </c>
      <c r="H12" s="18"/>
      <c r="I12" s="37"/>
      <c r="J12" s="4"/>
      <c r="K12" s="4"/>
      <c r="L12" s="4" t="s">
        <v>268</v>
      </c>
      <c r="M12" s="4" t="s">
        <v>269</v>
      </c>
      <c r="N12" s="4" t="s">
        <v>64</v>
      </c>
      <c r="O12" s="4">
        <v>1</v>
      </c>
      <c r="P12" s="4" t="s">
        <v>51</v>
      </c>
      <c r="Q12" s="4" t="s">
        <v>192</v>
      </c>
      <c r="S12" s="4"/>
      <c r="T12" s="4">
        <v>0.76</v>
      </c>
      <c r="U12" s="4">
        <v>0.46</v>
      </c>
      <c r="V12" s="4">
        <v>1.25</v>
      </c>
      <c r="W12" s="4">
        <f t="shared" si="1"/>
        <v>1.96</v>
      </c>
      <c r="X12" s="4">
        <f t="shared" si="2"/>
        <v>-0.27669261909239329</v>
      </c>
      <c r="Y12" s="4">
        <f t="shared" si="0"/>
        <v>0.25501845428908315</v>
      </c>
      <c r="Z12" s="4">
        <v>55</v>
      </c>
      <c r="AA12" s="4">
        <v>62</v>
      </c>
      <c r="AB12" s="4">
        <v>117</v>
      </c>
      <c r="AC12" s="4"/>
      <c r="AD12" s="4"/>
      <c r="AE12" s="4"/>
      <c r="AF12" s="4"/>
      <c r="AG12" s="4" t="s">
        <v>271</v>
      </c>
    </row>
    <row r="13" spans="1:33" x14ac:dyDescent="0.35">
      <c r="A13" t="s">
        <v>45</v>
      </c>
      <c r="F13" s="4"/>
      <c r="G13" s="12" t="s">
        <v>22</v>
      </c>
      <c r="H13" s="18"/>
      <c r="I13" s="37"/>
      <c r="J13" s="4"/>
      <c r="K13" s="4"/>
      <c r="L13" s="4" t="s">
        <v>268</v>
      </c>
      <c r="M13" s="4" t="s">
        <v>269</v>
      </c>
      <c r="N13" s="4" t="s">
        <v>77</v>
      </c>
      <c r="O13" s="4" t="s">
        <v>82</v>
      </c>
      <c r="P13" s="4" t="s">
        <v>51</v>
      </c>
      <c r="Q13" s="4" t="s">
        <v>192</v>
      </c>
      <c r="S13" s="4"/>
      <c r="T13" s="4">
        <v>0.77</v>
      </c>
      <c r="U13" s="4">
        <v>0.44</v>
      </c>
      <c r="V13" s="4">
        <v>1.35</v>
      </c>
      <c r="W13" s="4">
        <f t="shared" si="1"/>
        <v>1.96</v>
      </c>
      <c r="X13" s="4">
        <f t="shared" si="2"/>
        <v>-0.26043797980974603</v>
      </c>
      <c r="Y13" s="4">
        <f t="shared" si="0"/>
        <v>0.2859911082959613</v>
      </c>
      <c r="Z13" s="4">
        <v>65</v>
      </c>
      <c r="AA13" s="4">
        <v>61</v>
      </c>
      <c r="AB13" s="4">
        <v>126</v>
      </c>
      <c r="AC13" s="4"/>
      <c r="AD13" s="4"/>
      <c r="AE13" s="4"/>
      <c r="AF13" s="4">
        <v>1</v>
      </c>
      <c r="AG13" s="4"/>
    </row>
    <row r="14" spans="1:33" x14ac:dyDescent="0.35">
      <c r="A14" t="s">
        <v>45</v>
      </c>
      <c r="F14" s="4"/>
      <c r="G14" s="12" t="s">
        <v>22</v>
      </c>
      <c r="H14" s="18"/>
      <c r="I14" s="37"/>
      <c r="J14" s="4"/>
      <c r="K14" s="4"/>
      <c r="L14" s="4" t="s">
        <v>268</v>
      </c>
      <c r="M14" s="4" t="s">
        <v>269</v>
      </c>
      <c r="N14" s="4" t="s">
        <v>77</v>
      </c>
      <c r="O14" s="4" t="s">
        <v>84</v>
      </c>
      <c r="P14" s="4" t="s">
        <v>51</v>
      </c>
      <c r="Q14" s="4" t="s">
        <v>192</v>
      </c>
      <c r="S14" s="4"/>
      <c r="T14" s="4">
        <v>0.7</v>
      </c>
      <c r="U14" s="4">
        <v>0.47</v>
      </c>
      <c r="V14" s="4">
        <v>1.05</v>
      </c>
      <c r="W14" s="4">
        <f t="shared" si="1"/>
        <v>1.96</v>
      </c>
      <c r="X14" s="4">
        <f t="shared" si="2"/>
        <v>-0.35311621005430038</v>
      </c>
      <c r="Y14" s="4">
        <f t="shared" si="0"/>
        <v>0.2050542725631288</v>
      </c>
      <c r="Z14" s="4">
        <v>113</v>
      </c>
      <c r="AA14" s="4">
        <v>116</v>
      </c>
      <c r="AB14" s="4">
        <v>229</v>
      </c>
      <c r="AC14" s="4"/>
      <c r="AD14" s="4"/>
      <c r="AE14" s="4"/>
      <c r="AF14" s="4">
        <v>1</v>
      </c>
      <c r="AG14" s="4"/>
    </row>
    <row r="15" spans="1:33" x14ac:dyDescent="0.35">
      <c r="A15" t="s">
        <v>45</v>
      </c>
      <c r="F15" s="4"/>
      <c r="G15" s="12" t="s">
        <v>22</v>
      </c>
      <c r="H15" s="18"/>
      <c r="I15" s="37"/>
      <c r="J15" s="4"/>
      <c r="K15" s="4"/>
      <c r="L15" s="4" t="s">
        <v>268</v>
      </c>
      <c r="M15" s="4" t="s">
        <v>269</v>
      </c>
      <c r="N15" s="4" t="s">
        <v>79</v>
      </c>
      <c r="O15" s="4" t="s">
        <v>81</v>
      </c>
      <c r="P15" s="4" t="s">
        <v>51</v>
      </c>
      <c r="Q15" s="4" t="s">
        <v>192</v>
      </c>
      <c r="S15" s="4"/>
      <c r="T15" s="4">
        <v>0.71</v>
      </c>
      <c r="U15" s="4">
        <v>0.46</v>
      </c>
      <c r="V15" s="4">
        <v>1.1100000000000001</v>
      </c>
      <c r="W15" s="4">
        <f t="shared" si="1"/>
        <v>1.96</v>
      </c>
      <c r="X15" s="4">
        <f t="shared" si="2"/>
        <v>-0.3360843870873767</v>
      </c>
      <c r="Y15" s="4">
        <f t="shared" si="0"/>
        <v>0.22471653184266305</v>
      </c>
      <c r="Z15" s="4">
        <v>87</v>
      </c>
      <c r="AA15" s="4">
        <v>95</v>
      </c>
      <c r="AB15" s="4">
        <v>182</v>
      </c>
      <c r="AC15" s="4"/>
      <c r="AD15" s="4"/>
      <c r="AE15" s="4"/>
      <c r="AF15" s="4"/>
      <c r="AG15" s="4" t="s">
        <v>271</v>
      </c>
    </row>
    <row r="16" spans="1:33" x14ac:dyDescent="0.35">
      <c r="A16" t="s">
        <v>45</v>
      </c>
      <c r="F16" s="4"/>
      <c r="G16" s="12" t="s">
        <v>22</v>
      </c>
      <c r="H16" s="18"/>
      <c r="I16" s="37"/>
      <c r="J16" s="4"/>
      <c r="K16" s="4"/>
      <c r="L16" s="4" t="s">
        <v>268</v>
      </c>
      <c r="M16" s="4" t="s">
        <v>269</v>
      </c>
      <c r="N16" s="4" t="s">
        <v>79</v>
      </c>
      <c r="O16" s="4" t="s">
        <v>80</v>
      </c>
      <c r="P16" s="4" t="s">
        <v>51</v>
      </c>
      <c r="Q16" s="4" t="s">
        <v>192</v>
      </c>
      <c r="S16" s="4"/>
      <c r="T16" s="4">
        <v>0.72</v>
      </c>
      <c r="U16" s="4">
        <v>0.45</v>
      </c>
      <c r="V16" s="4">
        <v>1.1599999999999999</v>
      </c>
      <c r="W16" s="4">
        <f t="shared" si="1"/>
        <v>1.96</v>
      </c>
      <c r="X16" s="4">
        <f t="shared" si="2"/>
        <v>-0.32504384554974919</v>
      </c>
      <c r="Y16" s="4">
        <f t="shared" si="0"/>
        <v>0.24156318911633798</v>
      </c>
      <c r="Z16" s="4">
        <v>92</v>
      </c>
      <c r="AA16" s="4">
        <v>84</v>
      </c>
      <c r="AB16" s="4">
        <v>176</v>
      </c>
      <c r="AC16" s="4"/>
      <c r="AD16" s="4"/>
      <c r="AE16" s="4"/>
      <c r="AF16" s="4"/>
      <c r="AG16" s="4" t="s">
        <v>271</v>
      </c>
    </row>
    <row r="17" spans="1:33" x14ac:dyDescent="0.35">
      <c r="A17" t="s">
        <v>45</v>
      </c>
      <c r="F17" s="4"/>
      <c r="G17" s="12" t="s">
        <v>22</v>
      </c>
      <c r="H17" s="18"/>
      <c r="I17" s="37"/>
      <c r="J17" s="4"/>
      <c r="K17" s="4"/>
      <c r="L17" s="4" t="s">
        <v>268</v>
      </c>
      <c r="M17" s="4" t="s">
        <v>269</v>
      </c>
      <c r="N17" s="4" t="s">
        <v>101</v>
      </c>
      <c r="O17" s="4" t="s">
        <v>274</v>
      </c>
      <c r="P17" s="4" t="s">
        <v>51</v>
      </c>
      <c r="Q17" s="4" t="s">
        <v>192</v>
      </c>
      <c r="S17" s="4"/>
      <c r="T17" s="4">
        <v>0.89</v>
      </c>
      <c r="U17" s="4">
        <v>0.56999999999999995</v>
      </c>
      <c r="V17" s="4">
        <v>1.41</v>
      </c>
      <c r="W17" s="4">
        <f t="shared" si="1"/>
        <v>1.96</v>
      </c>
      <c r="X17" s="4">
        <f t="shared" si="2"/>
        <v>-0.10926460688173223</v>
      </c>
      <c r="Y17" s="4">
        <f t="shared" si="0"/>
        <v>0.23104811799582098</v>
      </c>
      <c r="Z17" s="4">
        <v>78</v>
      </c>
      <c r="AA17" s="4">
        <v>77</v>
      </c>
      <c r="AB17" s="4">
        <v>155</v>
      </c>
      <c r="AC17" s="4"/>
      <c r="AD17" s="4"/>
      <c r="AE17" s="4"/>
      <c r="AF17" s="4"/>
      <c r="AG17" s="4"/>
    </row>
    <row r="18" spans="1:33" x14ac:dyDescent="0.35">
      <c r="A18" t="s">
        <v>45</v>
      </c>
      <c r="F18" s="4"/>
      <c r="G18" s="12" t="s">
        <v>22</v>
      </c>
      <c r="H18" s="18"/>
      <c r="I18" s="37"/>
      <c r="J18" s="4"/>
      <c r="K18" s="4"/>
      <c r="L18" s="4" t="s">
        <v>268</v>
      </c>
      <c r="M18" s="4" t="s">
        <v>269</v>
      </c>
      <c r="N18" s="4" t="s">
        <v>101</v>
      </c>
      <c r="O18" s="4" t="s">
        <v>275</v>
      </c>
      <c r="P18" s="4" t="s">
        <v>51</v>
      </c>
      <c r="Q18" s="4" t="s">
        <v>192</v>
      </c>
      <c r="S18" s="4"/>
      <c r="T18" s="4">
        <v>0.51</v>
      </c>
      <c r="U18" s="4">
        <v>0.31</v>
      </c>
      <c r="V18" s="4">
        <v>0.84</v>
      </c>
      <c r="W18" s="4">
        <f t="shared" si="1"/>
        <v>1.96</v>
      </c>
      <c r="X18" s="4">
        <f t="shared" si="2"/>
        <v>-0.67276818432386143</v>
      </c>
      <c r="Y18" s="4">
        <f t="shared" si="0"/>
        <v>0.25429326386687945</v>
      </c>
      <c r="Z18" s="4">
        <v>89</v>
      </c>
      <c r="AA18" s="4">
        <v>89</v>
      </c>
      <c r="AB18" s="4">
        <v>178</v>
      </c>
      <c r="AC18" s="4"/>
      <c r="AD18" s="4"/>
      <c r="AE18" s="4"/>
      <c r="AF18" s="4"/>
      <c r="AG18" s="4"/>
    </row>
    <row r="19" spans="1:33" x14ac:dyDescent="0.35">
      <c r="A19" t="s">
        <v>45</v>
      </c>
      <c r="F19" s="4"/>
      <c r="G19" s="12" t="s">
        <v>22</v>
      </c>
      <c r="H19" s="18"/>
      <c r="I19" s="37"/>
      <c r="J19" s="4"/>
      <c r="K19" s="4"/>
      <c r="L19" s="4" t="s">
        <v>268</v>
      </c>
      <c r="M19" s="4" t="s">
        <v>269</v>
      </c>
      <c r="N19" s="4" t="s">
        <v>101</v>
      </c>
      <c r="O19" s="4" t="s">
        <v>276</v>
      </c>
      <c r="P19" s="4" t="s">
        <v>51</v>
      </c>
      <c r="Q19" s="4" t="s">
        <v>192</v>
      </c>
      <c r="S19" s="4"/>
      <c r="T19" s="4">
        <v>0.66</v>
      </c>
      <c r="U19" s="4">
        <v>0.35</v>
      </c>
      <c r="V19" s="4">
        <v>1.24</v>
      </c>
      <c r="W19" s="4">
        <f t="shared" si="1"/>
        <v>1.96</v>
      </c>
      <c r="X19" s="4">
        <f t="shared" si="2"/>
        <v>-0.41735537244086618</v>
      </c>
      <c r="Y19" s="4">
        <f t="shared" si="0"/>
        <v>0.32268711839684266</v>
      </c>
      <c r="Z19" s="4">
        <v>51</v>
      </c>
      <c r="AA19" s="4">
        <v>47</v>
      </c>
      <c r="AB19" s="4">
        <v>98</v>
      </c>
      <c r="AC19" s="4"/>
      <c r="AD19" s="4"/>
      <c r="AE19" s="4"/>
      <c r="AF19" s="4"/>
      <c r="AG19" s="4" t="s">
        <v>271</v>
      </c>
    </row>
    <row r="20" spans="1:33" x14ac:dyDescent="0.35">
      <c r="A20" t="s">
        <v>45</v>
      </c>
      <c r="F20" s="4"/>
      <c r="G20" s="12" t="s">
        <v>22</v>
      </c>
      <c r="H20" s="18"/>
      <c r="I20" s="37"/>
      <c r="J20" s="4"/>
      <c r="K20" s="4"/>
      <c r="L20" s="4" t="s">
        <v>268</v>
      </c>
      <c r="M20" s="4" t="s">
        <v>269</v>
      </c>
      <c r="N20" s="4" t="s">
        <v>101</v>
      </c>
      <c r="O20" s="4" t="s">
        <v>277</v>
      </c>
      <c r="P20" s="4" t="s">
        <v>51</v>
      </c>
      <c r="Q20" s="4" t="s">
        <v>192</v>
      </c>
      <c r="S20" s="4"/>
      <c r="T20" s="4">
        <v>0.33</v>
      </c>
      <c r="U20" s="4">
        <v>0.14000000000000001</v>
      </c>
      <c r="V20" s="4">
        <v>0.78</v>
      </c>
      <c r="W20" s="4">
        <f t="shared" si="1"/>
        <v>1.96</v>
      </c>
      <c r="X20" s="4">
        <f t="shared" si="2"/>
        <v>-1.1072871078356661</v>
      </c>
      <c r="Y20" s="4">
        <f t="shared" si="0"/>
        <v>0.43817640231488092</v>
      </c>
      <c r="Z20" s="4">
        <v>38</v>
      </c>
      <c r="AA20" s="4">
        <v>42</v>
      </c>
      <c r="AB20" s="4">
        <v>80</v>
      </c>
      <c r="AC20" s="4"/>
      <c r="AD20" s="4"/>
      <c r="AE20" s="4"/>
      <c r="AF20" s="4"/>
      <c r="AG20" s="4" t="s">
        <v>271</v>
      </c>
    </row>
    <row r="21" spans="1:33" x14ac:dyDescent="0.35">
      <c r="A21" t="s">
        <v>45</v>
      </c>
      <c r="F21" s="4"/>
      <c r="G21" s="12" t="s">
        <v>22</v>
      </c>
      <c r="H21" s="18"/>
      <c r="I21" s="37"/>
      <c r="J21" s="4"/>
      <c r="K21" s="4"/>
      <c r="L21" s="4" t="s">
        <v>268</v>
      </c>
      <c r="M21" s="4" t="s">
        <v>269</v>
      </c>
      <c r="N21" s="4" t="s">
        <v>278</v>
      </c>
      <c r="O21" s="4" t="s">
        <v>111</v>
      </c>
      <c r="P21" s="4" t="s">
        <v>51</v>
      </c>
      <c r="Q21" s="4" t="s">
        <v>192</v>
      </c>
      <c r="S21" s="4"/>
      <c r="T21" s="4">
        <v>0.81</v>
      </c>
      <c r="U21" s="4">
        <v>0.56000000000000005</v>
      </c>
      <c r="V21" s="4">
        <v>1.18</v>
      </c>
      <c r="W21" s="4">
        <f t="shared" si="1"/>
        <v>1.96</v>
      </c>
      <c r="X21" s="4">
        <f t="shared" si="2"/>
        <v>-0.20715202838768437</v>
      </c>
      <c r="Y21" s="4">
        <f t="shared" si="0"/>
        <v>0.19013595248227433</v>
      </c>
      <c r="Z21" s="4">
        <v>124</v>
      </c>
      <c r="AA21" s="4">
        <v>134</v>
      </c>
      <c r="AB21" s="4">
        <v>258</v>
      </c>
      <c r="AC21" s="4"/>
      <c r="AD21" s="4"/>
      <c r="AE21" s="4"/>
      <c r="AF21" s="4"/>
      <c r="AG21" s="4" t="s">
        <v>271</v>
      </c>
    </row>
    <row r="22" spans="1:33" x14ac:dyDescent="0.35">
      <c r="A22" t="s">
        <v>45</v>
      </c>
      <c r="F22" s="4"/>
      <c r="G22" s="12" t="s">
        <v>22</v>
      </c>
      <c r="H22" s="18"/>
      <c r="I22" s="37"/>
      <c r="J22" s="4"/>
      <c r="K22" s="4"/>
      <c r="L22" s="4" t="s">
        <v>268</v>
      </c>
      <c r="M22" s="4" t="s">
        <v>269</v>
      </c>
      <c r="N22" s="4" t="s">
        <v>109</v>
      </c>
      <c r="O22" s="4" t="s">
        <v>110</v>
      </c>
      <c r="P22" s="4" t="s">
        <v>51</v>
      </c>
      <c r="Q22" s="4" t="s">
        <v>192</v>
      </c>
      <c r="S22" s="4"/>
      <c r="T22" s="4">
        <v>0.39</v>
      </c>
      <c r="U22" s="4">
        <v>0.18</v>
      </c>
      <c r="V22" s="4">
        <v>0.86</v>
      </c>
      <c r="W22" s="4">
        <f t="shared" si="1"/>
        <v>1.96</v>
      </c>
      <c r="X22" s="4">
        <f t="shared" si="2"/>
        <v>-0.9328106589132551</v>
      </c>
      <c r="Y22" s="4">
        <f t="shared" si="0"/>
        <v>0.39897335162177117</v>
      </c>
      <c r="Z22" s="4">
        <v>39</v>
      </c>
      <c r="AA22" s="4">
        <v>33</v>
      </c>
      <c r="AB22" s="4">
        <v>72</v>
      </c>
      <c r="AC22" s="4"/>
      <c r="AD22" s="4"/>
      <c r="AE22" s="4"/>
      <c r="AF22" s="4"/>
      <c r="AG22" s="4" t="s">
        <v>271</v>
      </c>
    </row>
    <row r="23" spans="1:33" x14ac:dyDescent="0.35">
      <c r="A23" t="s">
        <v>45</v>
      </c>
      <c r="B23" t="s">
        <v>324</v>
      </c>
      <c r="E23" t="s">
        <v>323</v>
      </c>
      <c r="F23" s="4"/>
      <c r="G23" s="12" t="s">
        <v>22</v>
      </c>
      <c r="H23" s="18">
        <v>2022</v>
      </c>
      <c r="I23" s="37" t="s">
        <v>316</v>
      </c>
      <c r="J23" s="10"/>
      <c r="K23" s="10"/>
      <c r="L23" s="4" t="s">
        <v>268</v>
      </c>
      <c r="M23" s="4" t="s">
        <v>279</v>
      </c>
      <c r="N23" s="4" t="s">
        <v>37</v>
      </c>
      <c r="O23" s="4" t="s">
        <v>37</v>
      </c>
      <c r="P23" s="4" t="s">
        <v>51</v>
      </c>
      <c r="Q23" s="4" t="s">
        <v>192</v>
      </c>
      <c r="S23" s="4">
        <v>95</v>
      </c>
      <c r="T23" s="4">
        <v>0.63</v>
      </c>
      <c r="U23" s="4">
        <v>0.45</v>
      </c>
      <c r="V23" s="4">
        <v>0.87</v>
      </c>
      <c r="W23" s="4">
        <f t="shared" si="1"/>
        <v>1.9599639845400536</v>
      </c>
      <c r="X23" s="4">
        <f t="shared" si="2"/>
        <v>-0.46888488177563964</v>
      </c>
      <c r="Y23" s="4">
        <f t="shared" si="0"/>
        <v>0.16817799563775396</v>
      </c>
      <c r="Z23" s="4">
        <v>179</v>
      </c>
      <c r="AA23" s="4">
        <v>179</v>
      </c>
      <c r="AB23" s="4">
        <v>358</v>
      </c>
      <c r="AC23" s="4"/>
      <c r="AD23" s="4"/>
      <c r="AE23" s="4"/>
      <c r="AF23" s="4"/>
      <c r="AG23" s="4"/>
    </row>
    <row r="24" spans="1:33" x14ac:dyDescent="0.35">
      <c r="A24" t="s">
        <v>45</v>
      </c>
      <c r="F24" s="4"/>
      <c r="G24" s="12" t="s">
        <v>22</v>
      </c>
      <c r="H24" s="18">
        <v>2022</v>
      </c>
      <c r="I24" s="37" t="s">
        <v>316</v>
      </c>
      <c r="J24" s="4"/>
      <c r="K24" s="4"/>
      <c r="L24" s="4" t="s">
        <v>268</v>
      </c>
      <c r="M24" s="4" t="s">
        <v>279</v>
      </c>
      <c r="N24" s="4" t="s">
        <v>58</v>
      </c>
      <c r="O24" s="4" t="s">
        <v>63</v>
      </c>
      <c r="P24" s="4" t="s">
        <v>51</v>
      </c>
      <c r="Q24" s="4" t="s">
        <v>192</v>
      </c>
      <c r="S24" s="4">
        <v>95</v>
      </c>
      <c r="T24" s="4">
        <v>0.68</v>
      </c>
      <c r="U24" s="4">
        <v>0.47</v>
      </c>
      <c r="V24" s="4">
        <v>0.98</v>
      </c>
      <c r="W24" s="4">
        <f t="shared" si="1"/>
        <v>1.9599639845400536</v>
      </c>
      <c r="X24" s="4">
        <f t="shared" si="2"/>
        <v>-0.38761264579777616</v>
      </c>
      <c r="Y24" s="4">
        <f t="shared" si="0"/>
        <v>0.18745749482048624</v>
      </c>
      <c r="Z24" s="4">
        <v>128</v>
      </c>
      <c r="AA24" s="4">
        <v>127</v>
      </c>
      <c r="AB24" s="4">
        <v>255</v>
      </c>
      <c r="AC24" s="4"/>
      <c r="AD24" s="4"/>
      <c r="AE24" s="4"/>
      <c r="AF24" s="4"/>
      <c r="AG24" s="4"/>
    </row>
    <row r="25" spans="1:33" x14ac:dyDescent="0.35">
      <c r="A25" t="s">
        <v>45</v>
      </c>
      <c r="F25" s="4"/>
      <c r="G25" s="12" t="s">
        <v>22</v>
      </c>
      <c r="H25" s="18">
        <v>2022</v>
      </c>
      <c r="I25" s="37" t="s">
        <v>316</v>
      </c>
      <c r="J25" s="4"/>
      <c r="K25" s="4"/>
      <c r="L25" s="4" t="s">
        <v>268</v>
      </c>
      <c r="M25" s="4" t="s">
        <v>279</v>
      </c>
      <c r="N25" s="4" t="s">
        <v>58</v>
      </c>
      <c r="O25" s="4" t="s">
        <v>59</v>
      </c>
      <c r="P25" s="4" t="s">
        <v>51</v>
      </c>
      <c r="Q25" s="4" t="s">
        <v>192</v>
      </c>
      <c r="S25" s="4">
        <v>95</v>
      </c>
      <c r="T25" s="4">
        <v>0.46</v>
      </c>
      <c r="U25" s="4">
        <v>0.22</v>
      </c>
      <c r="V25" s="4">
        <v>0.96</v>
      </c>
      <c r="W25" s="4">
        <f t="shared" si="1"/>
        <v>1.9599639845400536</v>
      </c>
      <c r="X25" s="4">
        <f t="shared" si="2"/>
        <v>-0.77747486357501538</v>
      </c>
      <c r="Y25" s="4">
        <f t="shared" si="0"/>
        <v>0.3758502068738937</v>
      </c>
      <c r="Z25" s="4">
        <v>51</v>
      </c>
      <c r="AA25" s="4">
        <v>52</v>
      </c>
      <c r="AB25" s="4">
        <v>103</v>
      </c>
      <c r="AC25" s="4"/>
      <c r="AD25" s="4"/>
      <c r="AE25" s="4"/>
      <c r="AF25" s="4"/>
      <c r="AG25" s="4"/>
    </row>
    <row r="26" spans="1:33" x14ac:dyDescent="0.35">
      <c r="A26" t="s">
        <v>45</v>
      </c>
      <c r="F26" s="4"/>
      <c r="G26" s="12" t="s">
        <v>22</v>
      </c>
      <c r="H26" s="18">
        <v>2022</v>
      </c>
      <c r="I26" s="37" t="s">
        <v>316</v>
      </c>
      <c r="J26" s="4"/>
      <c r="K26" s="4"/>
      <c r="L26" s="4" t="s">
        <v>268</v>
      </c>
      <c r="M26" s="4" t="s">
        <v>279</v>
      </c>
      <c r="N26" s="4" t="s">
        <v>280</v>
      </c>
      <c r="O26" s="4" t="s">
        <v>230</v>
      </c>
      <c r="P26" s="4" t="s">
        <v>51</v>
      </c>
      <c r="Q26" s="4" t="s">
        <v>192</v>
      </c>
      <c r="S26" s="4">
        <v>95</v>
      </c>
      <c r="T26" s="4">
        <v>0.56999999999999995</v>
      </c>
      <c r="U26" s="4">
        <v>0.35</v>
      </c>
      <c r="V26" s="4">
        <v>0.93</v>
      </c>
      <c r="W26" s="4">
        <f t="shared" si="1"/>
        <v>1.9599639845400536</v>
      </c>
      <c r="X26" s="4">
        <f t="shared" si="2"/>
        <v>-0.56119640866675657</v>
      </c>
      <c r="Y26" s="4">
        <f t="shared" si="0"/>
        <v>0.24930341561688821</v>
      </c>
      <c r="Z26" s="4">
        <v>93</v>
      </c>
      <c r="AA26" s="4">
        <v>83</v>
      </c>
      <c r="AB26" s="4">
        <v>176</v>
      </c>
      <c r="AC26" s="4"/>
      <c r="AD26" s="4"/>
      <c r="AE26" s="4"/>
      <c r="AF26" s="4"/>
      <c r="AG26" s="4"/>
    </row>
    <row r="27" spans="1:33" x14ac:dyDescent="0.35">
      <c r="A27" t="s">
        <v>45</v>
      </c>
      <c r="F27" s="4"/>
      <c r="G27" s="12" t="s">
        <v>22</v>
      </c>
      <c r="H27" s="18">
        <v>2022</v>
      </c>
      <c r="I27" s="37" t="s">
        <v>316</v>
      </c>
      <c r="J27" s="4"/>
      <c r="K27" s="4"/>
      <c r="L27" s="4" t="s">
        <v>268</v>
      </c>
      <c r="M27" s="4" t="s">
        <v>279</v>
      </c>
      <c r="N27" s="4" t="s">
        <v>280</v>
      </c>
      <c r="O27" s="4" t="s">
        <v>56</v>
      </c>
      <c r="P27" s="4" t="s">
        <v>51</v>
      </c>
      <c r="Q27" s="4" t="s">
        <v>192</v>
      </c>
      <c r="S27" s="4">
        <v>95</v>
      </c>
      <c r="T27" s="4">
        <v>0.7</v>
      </c>
      <c r="U27" s="4">
        <v>0.45</v>
      </c>
      <c r="V27" s="4">
        <v>1.08</v>
      </c>
      <c r="W27" s="4">
        <f t="shared" si="1"/>
        <v>1.9599639845400536</v>
      </c>
      <c r="X27" s="4">
        <f t="shared" si="2"/>
        <v>-0.36077332754082159</v>
      </c>
      <c r="Y27" s="4">
        <f t="shared" si="0"/>
        <v>0.2233379654573977</v>
      </c>
      <c r="Z27" s="4">
        <v>86</v>
      </c>
      <c r="AA27" s="4">
        <v>96</v>
      </c>
      <c r="AB27" s="4">
        <v>182</v>
      </c>
      <c r="AC27" s="4"/>
      <c r="AD27" s="4"/>
      <c r="AE27" s="4"/>
      <c r="AF27" s="4"/>
      <c r="AG27" s="4"/>
    </row>
    <row r="28" spans="1:33" x14ac:dyDescent="0.35">
      <c r="A28" t="s">
        <v>45</v>
      </c>
      <c r="F28" s="4"/>
      <c r="G28" s="12" t="s">
        <v>22</v>
      </c>
      <c r="H28" s="18">
        <v>2022</v>
      </c>
      <c r="I28" s="37" t="s">
        <v>316</v>
      </c>
      <c r="J28" s="4"/>
      <c r="K28" s="4"/>
      <c r="L28" s="4" t="s">
        <v>268</v>
      </c>
      <c r="M28" s="4" t="s">
        <v>279</v>
      </c>
      <c r="N28" s="4" t="s">
        <v>68</v>
      </c>
      <c r="O28" s="4" t="s">
        <v>71</v>
      </c>
      <c r="P28" s="4" t="s">
        <v>51</v>
      </c>
      <c r="Q28" s="4" t="s">
        <v>192</v>
      </c>
      <c r="S28" s="4">
        <v>95</v>
      </c>
      <c r="T28" s="4">
        <v>0.78</v>
      </c>
      <c r="U28" s="4">
        <v>0.38</v>
      </c>
      <c r="V28" s="4">
        <v>1.62</v>
      </c>
      <c r="W28" s="4">
        <f t="shared" si="1"/>
        <v>1.9599639845400536</v>
      </c>
      <c r="X28" s="4">
        <f t="shared" si="2"/>
        <v>-0.2425789385087064</v>
      </c>
      <c r="Y28" s="4">
        <f t="shared" si="0"/>
        <v>0.36990735211041992</v>
      </c>
      <c r="Z28" s="4">
        <v>41</v>
      </c>
      <c r="AA28" s="4">
        <v>50</v>
      </c>
      <c r="AB28" s="4">
        <v>91</v>
      </c>
      <c r="AC28" s="4"/>
      <c r="AD28" s="4"/>
      <c r="AE28" s="4"/>
      <c r="AF28" s="4"/>
      <c r="AG28" s="4"/>
    </row>
    <row r="29" spans="1:33" x14ac:dyDescent="0.35">
      <c r="A29" t="s">
        <v>45</v>
      </c>
      <c r="F29" s="4"/>
      <c r="G29" s="12" t="s">
        <v>22</v>
      </c>
      <c r="H29" s="18">
        <v>2022</v>
      </c>
      <c r="I29" s="37" t="s">
        <v>316</v>
      </c>
      <c r="J29" s="4"/>
      <c r="K29" s="4"/>
      <c r="L29" s="4" t="s">
        <v>268</v>
      </c>
      <c r="M29" s="4" t="s">
        <v>279</v>
      </c>
      <c r="N29" s="4" t="s">
        <v>68</v>
      </c>
      <c r="O29" s="4" t="s">
        <v>70</v>
      </c>
      <c r="P29" s="4" t="s">
        <v>51</v>
      </c>
      <c r="Q29" s="4" t="s">
        <v>192</v>
      </c>
      <c r="S29" s="4">
        <v>95</v>
      </c>
      <c r="T29" s="4">
        <v>0.8</v>
      </c>
      <c r="U29" s="4">
        <v>0.36</v>
      </c>
      <c r="V29" s="4">
        <v>1.77</v>
      </c>
      <c r="W29" s="4">
        <f t="shared" si="1"/>
        <v>1.9599639845400536</v>
      </c>
      <c r="X29" s="4">
        <f t="shared" si="2"/>
        <v>-0.22533585047312182</v>
      </c>
      <c r="Y29" s="4">
        <f t="shared" si="0"/>
        <v>0.40629083153572931</v>
      </c>
      <c r="Z29" s="4">
        <v>41</v>
      </c>
      <c r="AA29" s="4">
        <v>25</v>
      </c>
      <c r="AB29" s="4">
        <v>66</v>
      </c>
      <c r="AC29" s="4"/>
      <c r="AD29" s="4"/>
      <c r="AE29" s="4"/>
      <c r="AF29" s="4"/>
      <c r="AG29" s="4"/>
    </row>
    <row r="30" spans="1:33" x14ac:dyDescent="0.35">
      <c r="A30" t="s">
        <v>45</v>
      </c>
      <c r="F30" s="4"/>
      <c r="G30" s="12" t="s">
        <v>22</v>
      </c>
      <c r="H30" s="18">
        <v>2022</v>
      </c>
      <c r="I30" s="37" t="s">
        <v>316</v>
      </c>
      <c r="J30" s="4"/>
      <c r="K30" s="4"/>
      <c r="L30" s="4" t="s">
        <v>268</v>
      </c>
      <c r="M30" s="4" t="s">
        <v>279</v>
      </c>
      <c r="N30" s="4" t="s">
        <v>68</v>
      </c>
      <c r="O30" s="4" t="s">
        <v>69</v>
      </c>
      <c r="P30" s="4" t="s">
        <v>51</v>
      </c>
      <c r="Q30" s="4" t="s">
        <v>192</v>
      </c>
      <c r="S30" s="4">
        <v>95</v>
      </c>
      <c r="T30" s="4">
        <v>0.45</v>
      </c>
      <c r="U30" s="4">
        <v>0.28999999999999998</v>
      </c>
      <c r="V30" s="4">
        <v>0.71</v>
      </c>
      <c r="W30" s="4">
        <f t="shared" si="1"/>
        <v>1.9599639845400536</v>
      </c>
      <c r="X30" s="4">
        <f t="shared" si="2"/>
        <v>-0.79018233247419678</v>
      </c>
      <c r="Y30" s="4">
        <f t="shared" si="0"/>
        <v>0.22841849496151889</v>
      </c>
      <c r="Z30" s="4">
        <v>85</v>
      </c>
      <c r="AA30" s="4">
        <v>92</v>
      </c>
      <c r="AB30" s="4">
        <v>177</v>
      </c>
      <c r="AC30" s="4"/>
      <c r="AD30" s="4"/>
      <c r="AE30" s="4"/>
      <c r="AF30" s="4"/>
      <c r="AG30" s="4"/>
    </row>
    <row r="31" spans="1:33" x14ac:dyDescent="0.35">
      <c r="A31" t="s">
        <v>45</v>
      </c>
      <c r="F31" s="4"/>
      <c r="G31" s="12" t="s">
        <v>22</v>
      </c>
      <c r="H31" s="18">
        <v>2022</v>
      </c>
      <c r="I31" s="37" t="s">
        <v>316</v>
      </c>
      <c r="J31" s="4"/>
      <c r="K31" s="4"/>
      <c r="L31" s="4" t="s">
        <v>268</v>
      </c>
      <c r="M31" s="4" t="s">
        <v>279</v>
      </c>
      <c r="N31" s="4" t="s">
        <v>64</v>
      </c>
      <c r="O31" s="4">
        <v>0</v>
      </c>
      <c r="P31" s="4" t="s">
        <v>51</v>
      </c>
      <c r="Q31" s="4" t="s">
        <v>192</v>
      </c>
      <c r="S31" s="4">
        <v>95</v>
      </c>
      <c r="T31" s="4">
        <v>0.61</v>
      </c>
      <c r="U31" s="4">
        <v>0.41</v>
      </c>
      <c r="V31" s="4">
        <v>0.91</v>
      </c>
      <c r="W31" s="4">
        <f t="shared" si="1"/>
        <v>1.9599639845400536</v>
      </c>
      <c r="X31" s="4">
        <f t="shared" si="2"/>
        <v>-0.49295439937751245</v>
      </c>
      <c r="Y31" s="4">
        <f t="shared" si="0"/>
        <v>0.20339339041468216</v>
      </c>
      <c r="Z31" s="4">
        <v>124</v>
      </c>
      <c r="AA31" s="4">
        <v>117</v>
      </c>
      <c r="AB31" s="4">
        <v>241</v>
      </c>
      <c r="AC31" s="4"/>
      <c r="AD31" s="4"/>
      <c r="AE31" s="4"/>
      <c r="AF31" s="4"/>
      <c r="AG31" s="4"/>
    </row>
    <row r="32" spans="1:33" x14ac:dyDescent="0.35">
      <c r="A32" t="s">
        <v>45</v>
      </c>
      <c r="F32" s="4"/>
      <c r="G32" s="12" t="s">
        <v>22</v>
      </c>
      <c r="H32" s="18">
        <v>2022</v>
      </c>
      <c r="I32" s="37" t="s">
        <v>316</v>
      </c>
      <c r="J32" s="4"/>
      <c r="K32" s="4"/>
      <c r="L32" s="4" t="s">
        <v>268</v>
      </c>
      <c r="M32" s="4" t="s">
        <v>279</v>
      </c>
      <c r="N32" s="4" t="s">
        <v>64</v>
      </c>
      <c r="O32" s="4">
        <v>1</v>
      </c>
      <c r="P32" s="4" t="s">
        <v>51</v>
      </c>
      <c r="Q32" s="4" t="s">
        <v>192</v>
      </c>
      <c r="S32" s="4">
        <v>95</v>
      </c>
      <c r="T32" s="4">
        <v>0.71</v>
      </c>
      <c r="U32" s="4">
        <v>0.41</v>
      </c>
      <c r="V32" s="4">
        <v>1.21</v>
      </c>
      <c r="W32" s="4">
        <f t="shared" si="1"/>
        <v>1.9599639845400536</v>
      </c>
      <c r="X32" s="4">
        <f t="shared" si="2"/>
        <v>-0.35048887983756694</v>
      </c>
      <c r="Y32" s="4">
        <f t="shared" si="0"/>
        <v>0.27608121563172461</v>
      </c>
      <c r="Z32" s="4">
        <v>55</v>
      </c>
      <c r="AA32" s="4">
        <v>62</v>
      </c>
      <c r="AB32" s="4">
        <v>117</v>
      </c>
      <c r="AC32" s="4"/>
      <c r="AD32" s="4"/>
      <c r="AE32" s="4"/>
      <c r="AF32" s="4"/>
      <c r="AG32" s="4"/>
    </row>
    <row r="33" spans="1:33" x14ac:dyDescent="0.35">
      <c r="A33" t="s">
        <v>45</v>
      </c>
      <c r="F33" s="4"/>
      <c r="G33" s="12" t="s">
        <v>22</v>
      </c>
      <c r="H33" s="18">
        <v>2022</v>
      </c>
      <c r="I33" s="37" t="s">
        <v>316</v>
      </c>
      <c r="J33" s="4"/>
      <c r="K33" s="4"/>
      <c r="L33" s="4" t="s">
        <v>268</v>
      </c>
      <c r="M33" s="4" t="s">
        <v>279</v>
      </c>
      <c r="N33" s="4" t="s">
        <v>77</v>
      </c>
      <c r="O33" s="4" t="s">
        <v>82</v>
      </c>
      <c r="P33" s="4" t="s">
        <v>51</v>
      </c>
      <c r="Q33" s="4" t="s">
        <v>192</v>
      </c>
      <c r="S33" s="4">
        <v>95</v>
      </c>
      <c r="T33" s="4">
        <v>0.87</v>
      </c>
      <c r="U33" s="4">
        <v>0.48</v>
      </c>
      <c r="V33" s="4">
        <v>1.56</v>
      </c>
      <c r="W33" s="4">
        <f t="shared" si="1"/>
        <v>1.9599639845400536</v>
      </c>
      <c r="X33" s="4">
        <f t="shared" si="2"/>
        <v>-0.14464167690937735</v>
      </c>
      <c r="Y33" s="4">
        <f t="shared" si="0"/>
        <v>0.30068282010249342</v>
      </c>
      <c r="Z33" s="4">
        <v>65</v>
      </c>
      <c r="AA33" s="4">
        <v>62</v>
      </c>
      <c r="AB33" s="4">
        <v>127</v>
      </c>
      <c r="AC33" s="4"/>
      <c r="AD33" s="4"/>
      <c r="AE33" s="4"/>
      <c r="AF33" s="4"/>
      <c r="AG33" s="4">
        <v>1</v>
      </c>
    </row>
    <row r="34" spans="1:33" x14ac:dyDescent="0.35">
      <c r="A34" t="s">
        <v>45</v>
      </c>
      <c r="F34" s="4"/>
      <c r="G34" s="12" t="s">
        <v>22</v>
      </c>
      <c r="H34" s="18">
        <v>2022</v>
      </c>
      <c r="I34" s="37" t="s">
        <v>316</v>
      </c>
      <c r="J34" s="4"/>
      <c r="K34" s="4"/>
      <c r="L34" s="4" t="s">
        <v>268</v>
      </c>
      <c r="M34" s="4" t="s">
        <v>279</v>
      </c>
      <c r="N34" s="4" t="s">
        <v>77</v>
      </c>
      <c r="O34" s="4" t="s">
        <v>84</v>
      </c>
      <c r="P34" s="4" t="s">
        <v>51</v>
      </c>
      <c r="Q34" s="4" t="s">
        <v>192</v>
      </c>
      <c r="S34" s="4">
        <v>95</v>
      </c>
      <c r="T34" s="4">
        <v>0.54</v>
      </c>
      <c r="U34" s="4">
        <v>0.37</v>
      </c>
      <c r="V34" s="4">
        <v>0.8</v>
      </c>
      <c r="W34" s="4">
        <f t="shared" si="1"/>
        <v>1.9599639845400536</v>
      </c>
      <c r="X34" s="4">
        <f t="shared" si="2"/>
        <v>-0.60869791232903836</v>
      </c>
      <c r="Y34" s="4">
        <f t="shared" si="0"/>
        <v>0.19671502336575178</v>
      </c>
      <c r="Z34" s="4">
        <v>113</v>
      </c>
      <c r="AA34" s="4">
        <v>115</v>
      </c>
      <c r="AB34" s="4">
        <v>228</v>
      </c>
      <c r="AC34" s="4"/>
      <c r="AD34" s="4"/>
      <c r="AE34" s="4"/>
      <c r="AF34" s="4"/>
      <c r="AG34" s="4">
        <v>1</v>
      </c>
    </row>
    <row r="35" spans="1:33" x14ac:dyDescent="0.35">
      <c r="A35" t="s">
        <v>45</v>
      </c>
      <c r="F35" s="4"/>
      <c r="G35" s="12" t="s">
        <v>22</v>
      </c>
      <c r="H35" s="18">
        <v>2022</v>
      </c>
      <c r="I35" s="37" t="s">
        <v>316</v>
      </c>
      <c r="J35" s="4"/>
      <c r="K35" s="4"/>
      <c r="L35" s="4" t="s">
        <v>268</v>
      </c>
      <c r="M35" s="4" t="s">
        <v>279</v>
      </c>
      <c r="N35" s="4" t="s">
        <v>79</v>
      </c>
      <c r="O35" s="4" t="s">
        <v>81</v>
      </c>
      <c r="P35" s="4" t="s">
        <v>51</v>
      </c>
      <c r="Q35" s="4" t="s">
        <v>192</v>
      </c>
      <c r="S35" s="4">
        <v>95</v>
      </c>
      <c r="T35" s="4">
        <v>0.77</v>
      </c>
      <c r="U35" s="4">
        <v>0.49</v>
      </c>
      <c r="V35" s="4">
        <v>1.22</v>
      </c>
      <c r="W35" s="4">
        <f t="shared" si="1"/>
        <v>1.9599639845400536</v>
      </c>
      <c r="X35" s="4">
        <f t="shared" si="2"/>
        <v>-0.25724951456614981</v>
      </c>
      <c r="Y35" s="4">
        <f t="shared" si="0"/>
        <v>0.23270854817179124</v>
      </c>
      <c r="Z35" s="4">
        <v>87</v>
      </c>
      <c r="AA35" s="4">
        <v>95</v>
      </c>
      <c r="AB35" s="4">
        <v>182</v>
      </c>
      <c r="AC35" s="4"/>
      <c r="AD35" s="4"/>
      <c r="AE35" s="4"/>
      <c r="AF35" s="4"/>
      <c r="AG35" s="4"/>
    </row>
    <row r="36" spans="1:33" x14ac:dyDescent="0.35">
      <c r="A36" t="s">
        <v>45</v>
      </c>
      <c r="F36" s="4"/>
      <c r="G36" s="12" t="s">
        <v>22</v>
      </c>
      <c r="H36" s="18">
        <v>2022</v>
      </c>
      <c r="I36" s="37" t="s">
        <v>316</v>
      </c>
      <c r="J36" s="4"/>
      <c r="K36" s="4"/>
      <c r="L36" s="4" t="s">
        <v>268</v>
      </c>
      <c r="M36" s="4" t="s">
        <v>279</v>
      </c>
      <c r="N36" s="4" t="s">
        <v>79</v>
      </c>
      <c r="O36" s="4" t="s">
        <v>80</v>
      </c>
      <c r="P36" s="4" t="s">
        <v>51</v>
      </c>
      <c r="Q36" s="4" t="s">
        <v>192</v>
      </c>
      <c r="S36" s="4">
        <v>95</v>
      </c>
      <c r="T36" s="4">
        <v>0.5</v>
      </c>
      <c r="U36" s="4">
        <v>0.32</v>
      </c>
      <c r="V36" s="4">
        <v>0.79</v>
      </c>
      <c r="W36" s="4">
        <f t="shared" si="1"/>
        <v>1.9599639845400536</v>
      </c>
      <c r="X36" s="4">
        <f t="shared" si="2"/>
        <v>-0.68757830835471734</v>
      </c>
      <c r="Y36" s="4">
        <f t="shared" si="0"/>
        <v>0.23054299895193478</v>
      </c>
      <c r="Z36" s="4">
        <v>92</v>
      </c>
      <c r="AA36" s="4">
        <v>84</v>
      </c>
      <c r="AB36" s="4">
        <v>176</v>
      </c>
      <c r="AC36" s="4"/>
      <c r="AD36" s="4"/>
      <c r="AE36" s="4"/>
      <c r="AF36" s="4"/>
      <c r="AG36" s="4"/>
    </row>
    <row r="37" spans="1:33" x14ac:dyDescent="0.35">
      <c r="A37" t="s">
        <v>45</v>
      </c>
      <c r="F37" s="4"/>
      <c r="G37" s="12" t="s">
        <v>22</v>
      </c>
      <c r="H37" s="18">
        <v>2022</v>
      </c>
      <c r="I37" s="37" t="s">
        <v>316</v>
      </c>
      <c r="J37" s="4"/>
      <c r="K37" s="4"/>
      <c r="L37" s="4" t="s">
        <v>268</v>
      </c>
      <c r="M37" s="4" t="s">
        <v>279</v>
      </c>
      <c r="N37" s="4" t="s">
        <v>73</v>
      </c>
      <c r="O37" s="4" t="s">
        <v>99</v>
      </c>
      <c r="P37" s="4" t="s">
        <v>51</v>
      </c>
      <c r="Q37" s="4" t="s">
        <v>192</v>
      </c>
      <c r="S37" s="4">
        <v>95</v>
      </c>
      <c r="T37" s="4">
        <v>0.68</v>
      </c>
      <c r="U37" s="4">
        <v>0.48</v>
      </c>
      <c r="V37" s="4">
        <v>0.96</v>
      </c>
      <c r="W37" s="4">
        <f t="shared" si="1"/>
        <v>1.9599639845400536</v>
      </c>
      <c r="X37" s="4">
        <f t="shared" si="2"/>
        <v>-0.38739558480022779</v>
      </c>
      <c r="Y37" s="4">
        <f t="shared" si="0"/>
        <v>0.17682650957553353</v>
      </c>
      <c r="Z37" s="4">
        <v>160</v>
      </c>
      <c r="AA37" s="4">
        <v>158</v>
      </c>
      <c r="AB37" s="4">
        <v>318</v>
      </c>
      <c r="AC37" s="4"/>
      <c r="AD37" s="4"/>
      <c r="AE37" s="4"/>
      <c r="AF37" s="4"/>
      <c r="AG37" s="4"/>
    </row>
    <row r="38" spans="1:33" x14ac:dyDescent="0.35">
      <c r="A38" t="s">
        <v>45</v>
      </c>
      <c r="F38" s="4"/>
      <c r="G38" s="12" t="s">
        <v>22</v>
      </c>
      <c r="H38" s="18">
        <v>2022</v>
      </c>
      <c r="I38" s="37" t="s">
        <v>316</v>
      </c>
      <c r="J38" s="4"/>
      <c r="K38" s="4"/>
      <c r="L38" s="4" t="s">
        <v>268</v>
      </c>
      <c r="M38" s="4" t="s">
        <v>279</v>
      </c>
      <c r="N38" s="4" t="s">
        <v>73</v>
      </c>
      <c r="O38" s="4" t="s">
        <v>76</v>
      </c>
      <c r="P38" s="4" t="s">
        <v>51</v>
      </c>
      <c r="Q38" s="4" t="s">
        <v>192</v>
      </c>
      <c r="S38" s="4">
        <v>95</v>
      </c>
      <c r="T38" s="4">
        <v>0.33</v>
      </c>
      <c r="U38" s="4">
        <v>0.13</v>
      </c>
      <c r="V38" s="4">
        <v>0.87</v>
      </c>
      <c r="W38" s="4">
        <f t="shared" si="1"/>
        <v>1.9599639845400536</v>
      </c>
      <c r="X38" s="4">
        <f t="shared" si="2"/>
        <v>-1.0897414479300311</v>
      </c>
      <c r="Y38" s="4">
        <f t="shared" si="0"/>
        <v>0.48494737050975623</v>
      </c>
      <c r="Z38" s="4">
        <v>19</v>
      </c>
      <c r="AA38" s="4">
        <v>20</v>
      </c>
      <c r="AB38" s="4">
        <v>39</v>
      </c>
      <c r="AC38" s="4"/>
      <c r="AD38" s="4"/>
      <c r="AE38" s="4"/>
      <c r="AF38" s="4"/>
      <c r="AG38" s="4"/>
    </row>
    <row r="39" spans="1:33" x14ac:dyDescent="0.35">
      <c r="A39" t="s">
        <v>45</v>
      </c>
      <c r="F39" s="4"/>
      <c r="G39" s="12" t="s">
        <v>22</v>
      </c>
      <c r="H39" s="18">
        <v>2022</v>
      </c>
      <c r="I39" s="37" t="s">
        <v>316</v>
      </c>
      <c r="J39" s="4"/>
      <c r="K39" s="4"/>
      <c r="L39" s="4" t="s">
        <v>268</v>
      </c>
      <c r="M39" s="4" t="s">
        <v>279</v>
      </c>
      <c r="N39" s="4" t="s">
        <v>101</v>
      </c>
      <c r="O39" s="4" t="s">
        <v>274</v>
      </c>
      <c r="P39" s="4" t="s">
        <v>51</v>
      </c>
      <c r="Q39" s="4" t="s">
        <v>192</v>
      </c>
      <c r="S39" s="4">
        <v>95</v>
      </c>
      <c r="T39" s="4">
        <v>0.85</v>
      </c>
      <c r="U39" s="4">
        <v>0.54</v>
      </c>
      <c r="V39" s="4">
        <v>1.32</v>
      </c>
      <c r="W39" s="4">
        <f t="shared" si="1"/>
        <v>1.9599639845400536</v>
      </c>
      <c r="X39" s="4">
        <f t="shared" si="2"/>
        <v>-0.1692772014127687</v>
      </c>
      <c r="Y39" s="4">
        <f t="shared" si="0"/>
        <v>0.22801895419314286</v>
      </c>
      <c r="Z39" s="4">
        <v>78</v>
      </c>
      <c r="AA39" s="4">
        <v>77</v>
      </c>
      <c r="AB39" s="4">
        <v>155</v>
      </c>
      <c r="AC39" s="4"/>
      <c r="AD39" s="4"/>
      <c r="AE39" s="4"/>
      <c r="AF39" s="4"/>
      <c r="AG39" s="4"/>
    </row>
    <row r="40" spans="1:33" x14ac:dyDescent="0.35">
      <c r="A40" t="s">
        <v>45</v>
      </c>
      <c r="F40" s="4"/>
      <c r="G40" s="12" t="s">
        <v>22</v>
      </c>
      <c r="H40" s="18">
        <v>2022</v>
      </c>
      <c r="I40" s="37" t="s">
        <v>316</v>
      </c>
      <c r="J40" s="4"/>
      <c r="K40" s="4"/>
      <c r="L40" s="4" t="s">
        <v>268</v>
      </c>
      <c r="M40" s="4" t="s">
        <v>279</v>
      </c>
      <c r="N40" s="4" t="s">
        <v>101</v>
      </c>
      <c r="O40" s="4" t="s">
        <v>281</v>
      </c>
      <c r="P40" s="4" t="s">
        <v>51</v>
      </c>
      <c r="Q40" s="4" t="s">
        <v>192</v>
      </c>
      <c r="S40" s="4">
        <v>95</v>
      </c>
      <c r="T40" s="4">
        <v>0.41</v>
      </c>
      <c r="U40" s="4">
        <v>0.24</v>
      </c>
      <c r="V40" s="4">
        <v>0.7</v>
      </c>
      <c r="W40" s="4">
        <f t="shared" si="1"/>
        <v>1.9599639845400536</v>
      </c>
      <c r="X40" s="4">
        <f t="shared" si="2"/>
        <v>-0.89189564978943914</v>
      </c>
      <c r="Y40" s="4">
        <f t="shared" si="0"/>
        <v>0.27307680654974248</v>
      </c>
      <c r="Z40" s="4">
        <v>89</v>
      </c>
      <c r="AA40" s="4">
        <v>89</v>
      </c>
      <c r="AB40" s="4">
        <v>178</v>
      </c>
      <c r="AC40" s="4"/>
      <c r="AD40" s="4"/>
      <c r="AE40" s="4"/>
      <c r="AF40" s="4"/>
      <c r="AG40" s="4"/>
    </row>
    <row r="41" spans="1:33" x14ac:dyDescent="0.35">
      <c r="A41" t="s">
        <v>45</v>
      </c>
      <c r="F41" s="4"/>
      <c r="G41" s="12" t="s">
        <v>22</v>
      </c>
      <c r="H41" s="18">
        <v>2022</v>
      </c>
      <c r="I41" s="37" t="s">
        <v>316</v>
      </c>
      <c r="J41" s="4"/>
      <c r="K41" s="4"/>
      <c r="L41" s="4" t="s">
        <v>268</v>
      </c>
      <c r="M41" s="4" t="s">
        <v>279</v>
      </c>
      <c r="N41" s="4" t="s">
        <v>101</v>
      </c>
      <c r="O41" s="4" t="s">
        <v>282</v>
      </c>
      <c r="P41" s="4" t="s">
        <v>51</v>
      </c>
      <c r="Q41" s="4" t="s">
        <v>192</v>
      </c>
      <c r="S41" s="4">
        <v>95</v>
      </c>
      <c r="T41" s="4">
        <v>0.57999999999999996</v>
      </c>
      <c r="U41" s="4">
        <v>0.3</v>
      </c>
      <c r="V41" s="4">
        <v>1.1200000000000001</v>
      </c>
      <c r="W41" s="4">
        <f t="shared" si="1"/>
        <v>1.9599639845400536</v>
      </c>
      <c r="X41" s="4">
        <f t="shared" si="2"/>
        <v>-0.54532205950946644</v>
      </c>
      <c r="Y41" s="4">
        <f t="shared" si="0"/>
        <v>0.33605247341880917</v>
      </c>
      <c r="Z41" s="4">
        <v>51</v>
      </c>
      <c r="AA41" s="4">
        <v>47</v>
      </c>
      <c r="AB41" s="4">
        <v>98</v>
      </c>
      <c r="AC41" s="4"/>
      <c r="AD41" s="4"/>
      <c r="AE41" s="4"/>
      <c r="AF41" s="4"/>
      <c r="AG41" s="4"/>
    </row>
    <row r="42" spans="1:33" x14ac:dyDescent="0.35">
      <c r="A42" t="s">
        <v>45</v>
      </c>
      <c r="F42" s="4"/>
      <c r="G42" s="12" t="s">
        <v>22</v>
      </c>
      <c r="H42" s="18">
        <v>2022</v>
      </c>
      <c r="I42" s="37" t="s">
        <v>316</v>
      </c>
      <c r="J42" s="4"/>
      <c r="K42" s="4"/>
      <c r="L42" s="4" t="s">
        <v>268</v>
      </c>
      <c r="M42" s="4" t="s">
        <v>279</v>
      </c>
      <c r="N42" s="4" t="s">
        <v>101</v>
      </c>
      <c r="O42" s="4" t="s">
        <v>277</v>
      </c>
      <c r="P42" s="4" t="s">
        <v>51</v>
      </c>
      <c r="Q42" s="4" t="s">
        <v>192</v>
      </c>
      <c r="S42" s="4">
        <v>95</v>
      </c>
      <c r="T42" s="4">
        <v>0.24</v>
      </c>
      <c r="U42" s="4">
        <v>0.1</v>
      </c>
      <c r="V42" s="4">
        <v>0.61</v>
      </c>
      <c r="W42" s="4">
        <f t="shared" si="1"/>
        <v>1.9599639845400536</v>
      </c>
      <c r="X42" s="4">
        <f t="shared" si="2"/>
        <v>-1.3984407074044127</v>
      </c>
      <c r="Y42" s="4">
        <f t="shared" si="0"/>
        <v>0.46130663253070392</v>
      </c>
      <c r="Z42" s="4">
        <v>38</v>
      </c>
      <c r="AA42" s="4">
        <v>42</v>
      </c>
      <c r="AB42" s="4">
        <v>80</v>
      </c>
      <c r="AC42" s="4"/>
      <c r="AD42" s="4"/>
      <c r="AE42" s="4"/>
      <c r="AF42" s="4"/>
      <c r="AG42" s="4"/>
    </row>
    <row r="43" spans="1:33" x14ac:dyDescent="0.35">
      <c r="A43" t="s">
        <v>45</v>
      </c>
      <c r="F43" s="4"/>
      <c r="G43" s="12" t="s">
        <v>22</v>
      </c>
      <c r="H43" s="18">
        <v>2022</v>
      </c>
      <c r="I43" s="37" t="s">
        <v>316</v>
      </c>
      <c r="J43" s="4"/>
      <c r="K43" s="4"/>
      <c r="L43" s="4" t="s">
        <v>268</v>
      </c>
      <c r="M43" s="4" t="s">
        <v>279</v>
      </c>
      <c r="N43" s="4" t="s">
        <v>106</v>
      </c>
      <c r="O43" s="4" t="s">
        <v>283</v>
      </c>
      <c r="P43" s="4" t="s">
        <v>51</v>
      </c>
      <c r="Q43" s="4" t="s">
        <v>192</v>
      </c>
      <c r="S43" s="4">
        <v>95</v>
      </c>
      <c r="T43" s="4">
        <v>0.86</v>
      </c>
      <c r="U43" s="4">
        <v>0.47</v>
      </c>
      <c r="V43" s="4">
        <v>1.57</v>
      </c>
      <c r="W43" s="4">
        <f t="shared" si="1"/>
        <v>1.9599639845400536</v>
      </c>
      <c r="X43" s="4">
        <f t="shared" si="2"/>
        <v>-0.15197348245890804</v>
      </c>
      <c r="Y43" s="4">
        <f t="shared" si="0"/>
        <v>0.30768376693444333</v>
      </c>
      <c r="Z43" s="4">
        <v>49</v>
      </c>
      <c r="AA43" s="4">
        <v>53</v>
      </c>
      <c r="AB43" s="4">
        <v>102</v>
      </c>
      <c r="AC43" s="4"/>
      <c r="AD43" s="4"/>
      <c r="AE43" s="4"/>
      <c r="AF43" s="4"/>
      <c r="AG43" s="4"/>
    </row>
    <row r="44" spans="1:33" x14ac:dyDescent="0.35">
      <c r="A44" t="s">
        <v>45</v>
      </c>
      <c r="F44" s="4"/>
      <c r="G44" s="12" t="s">
        <v>22</v>
      </c>
      <c r="H44" s="18">
        <v>2022</v>
      </c>
      <c r="I44" s="37" t="s">
        <v>316</v>
      </c>
      <c r="J44" s="4"/>
      <c r="K44" s="4"/>
      <c r="L44" s="4" t="s">
        <v>268</v>
      </c>
      <c r="M44" s="4" t="s">
        <v>279</v>
      </c>
      <c r="N44" s="4" t="s">
        <v>106</v>
      </c>
      <c r="O44" s="4" t="s">
        <v>284</v>
      </c>
      <c r="P44" s="4" t="s">
        <v>51</v>
      </c>
      <c r="Q44" s="4" t="s">
        <v>192</v>
      </c>
      <c r="S44" s="4">
        <v>95</v>
      </c>
      <c r="T44" s="4">
        <v>0.69</v>
      </c>
      <c r="U44" s="4">
        <v>0.33</v>
      </c>
      <c r="V44" s="4">
        <v>1.46</v>
      </c>
      <c r="W44" s="4">
        <f t="shared" si="1"/>
        <v>1.9599639845400536</v>
      </c>
      <c r="X44" s="4">
        <f t="shared" si="2"/>
        <v>-0.36511309440068307</v>
      </c>
      <c r="Y44" s="4">
        <f t="shared" si="0"/>
        <v>0.37936897615770088</v>
      </c>
      <c r="Z44" s="4">
        <v>39</v>
      </c>
      <c r="AA44" s="4">
        <v>37</v>
      </c>
      <c r="AB44" s="4">
        <v>76</v>
      </c>
      <c r="AC44" s="4"/>
      <c r="AD44" s="4"/>
      <c r="AE44" s="4"/>
      <c r="AF44" s="4"/>
      <c r="AG44" s="4"/>
    </row>
    <row r="45" spans="1:33" x14ac:dyDescent="0.35">
      <c r="A45" t="s">
        <v>45</v>
      </c>
      <c r="F45" s="4"/>
      <c r="G45" s="12" t="s">
        <v>22</v>
      </c>
      <c r="H45" s="18">
        <v>2022</v>
      </c>
      <c r="I45" s="37" t="s">
        <v>316</v>
      </c>
      <c r="J45" s="4"/>
      <c r="K45" s="4"/>
      <c r="L45" s="4" t="s">
        <v>268</v>
      </c>
      <c r="M45" s="4" t="s">
        <v>279</v>
      </c>
      <c r="N45" s="4" t="s">
        <v>109</v>
      </c>
      <c r="O45" s="4" t="s">
        <v>111</v>
      </c>
      <c r="P45" s="4" t="s">
        <v>51</v>
      </c>
      <c r="Q45" s="4" t="s">
        <v>192</v>
      </c>
      <c r="S45" s="4">
        <v>95</v>
      </c>
      <c r="T45" s="4">
        <v>0.71</v>
      </c>
      <c r="U45" s="4">
        <v>0.49</v>
      </c>
      <c r="V45" s="4">
        <v>1.03</v>
      </c>
      <c r="W45" s="4">
        <f t="shared" si="1"/>
        <v>1.9599639845400536</v>
      </c>
      <c r="X45" s="4">
        <f t="shared" si="2"/>
        <v>-0.3418955428179602</v>
      </c>
      <c r="Y45" s="4">
        <f t="shared" si="0"/>
        <v>0.18952100548249312</v>
      </c>
      <c r="Z45" s="4">
        <v>124</v>
      </c>
      <c r="AA45" s="4">
        <v>134</v>
      </c>
      <c r="AB45" s="4">
        <v>258</v>
      </c>
      <c r="AC45" s="4"/>
      <c r="AD45" s="4"/>
      <c r="AE45" s="4"/>
      <c r="AF45" s="4"/>
      <c r="AG45" s="4"/>
    </row>
    <row r="46" spans="1:33" x14ac:dyDescent="0.35">
      <c r="A46" t="s">
        <v>45</v>
      </c>
      <c r="F46" s="4"/>
      <c r="G46" s="12" t="s">
        <v>22</v>
      </c>
      <c r="H46" s="18">
        <v>2022</v>
      </c>
      <c r="I46" s="37" t="s">
        <v>316</v>
      </c>
      <c r="J46" s="4"/>
      <c r="K46" s="4"/>
      <c r="L46" s="4" t="s">
        <v>268</v>
      </c>
      <c r="M46" s="4" t="s">
        <v>279</v>
      </c>
      <c r="N46" s="4" t="s">
        <v>109</v>
      </c>
      <c r="O46" s="4" t="s">
        <v>110</v>
      </c>
      <c r="P46" s="4" t="s">
        <v>51</v>
      </c>
      <c r="Q46" s="4" t="s">
        <v>192</v>
      </c>
      <c r="S46" s="4">
        <v>95</v>
      </c>
      <c r="T46" s="4">
        <v>0.31</v>
      </c>
      <c r="U46" s="4">
        <v>0.14000000000000001</v>
      </c>
      <c r="V46" s="4">
        <v>0.67</v>
      </c>
      <c r="W46" s="4">
        <f t="shared" si="1"/>
        <v>1.9599639845400536</v>
      </c>
      <c r="X46" s="4">
        <f t="shared" si="2"/>
        <v>-1.1832952114849791</v>
      </c>
      <c r="Y46" s="4">
        <f t="shared" si="0"/>
        <v>0.39940409673984811</v>
      </c>
      <c r="Z46" s="4">
        <v>39</v>
      </c>
      <c r="AA46" s="4">
        <v>33</v>
      </c>
      <c r="AB46" s="4">
        <v>72</v>
      </c>
      <c r="AC46" s="4"/>
      <c r="AD46" s="4"/>
      <c r="AE46" s="4"/>
      <c r="AF46" s="4"/>
      <c r="AG46" s="4"/>
    </row>
    <row r="47" spans="1:33" x14ac:dyDescent="0.35">
      <c r="A47" t="s">
        <v>29</v>
      </c>
      <c r="B47" t="s">
        <v>330</v>
      </c>
      <c r="C47">
        <v>38749033</v>
      </c>
      <c r="F47" s="4"/>
      <c r="G47" s="12" t="s">
        <v>90</v>
      </c>
      <c r="H47" s="18">
        <v>2024</v>
      </c>
      <c r="I47" s="37" t="s">
        <v>316</v>
      </c>
      <c r="J47" s="4"/>
      <c r="K47" s="4"/>
      <c r="L47" s="4" t="s">
        <v>268</v>
      </c>
      <c r="M47" s="4" t="s">
        <v>279</v>
      </c>
      <c r="N47" s="4" t="s">
        <v>41</v>
      </c>
      <c r="O47" s="4" t="s">
        <v>37</v>
      </c>
      <c r="P47" s="4" t="s">
        <v>53</v>
      </c>
      <c r="Q47" s="4" t="s">
        <v>192</v>
      </c>
      <c r="S47" s="4">
        <v>95</v>
      </c>
      <c r="T47" s="4">
        <v>0.59</v>
      </c>
      <c r="U47" s="4">
        <v>0.44</v>
      </c>
      <c r="V47" s="4">
        <v>0.79</v>
      </c>
      <c r="W47" s="4">
        <f t="shared" si="1"/>
        <v>1.9599639845400536</v>
      </c>
      <c r="X47" s="4">
        <f t="shared" si="2"/>
        <v>-0.52835144279544999</v>
      </c>
      <c r="Y47" s="4">
        <f t="shared" si="0"/>
        <v>0.14930330943966386</v>
      </c>
      <c r="Z47" s="4">
        <v>229</v>
      </c>
      <c r="AA47" s="4">
        <v>232</v>
      </c>
      <c r="AB47" s="4">
        <v>461</v>
      </c>
      <c r="AC47" s="4"/>
      <c r="AD47" s="4"/>
      <c r="AE47" s="4"/>
      <c r="AF47" s="4"/>
      <c r="AG47" s="4"/>
    </row>
    <row r="48" spans="1:33" x14ac:dyDescent="0.35">
      <c r="A48" t="s">
        <v>45</v>
      </c>
      <c r="F48" s="4"/>
      <c r="G48" s="12" t="s">
        <v>90</v>
      </c>
      <c r="H48" s="18">
        <v>2024</v>
      </c>
      <c r="I48" s="37"/>
      <c r="J48" s="4"/>
      <c r="K48" s="4"/>
      <c r="L48" s="4" t="s">
        <v>268</v>
      </c>
      <c r="M48" s="4" t="s">
        <v>279</v>
      </c>
      <c r="N48" s="4" t="s">
        <v>57</v>
      </c>
      <c r="O48" s="4" t="s">
        <v>230</v>
      </c>
      <c r="P48" s="4" t="s">
        <v>53</v>
      </c>
      <c r="Q48" s="4" t="s">
        <v>192</v>
      </c>
      <c r="S48" s="4"/>
      <c r="T48" s="4">
        <v>0.55000000000000004</v>
      </c>
      <c r="U48" s="4">
        <v>0.36</v>
      </c>
      <c r="V48" s="4">
        <v>0.85</v>
      </c>
      <c r="W48" s="4">
        <f t="shared" si="1"/>
        <v>1.96</v>
      </c>
      <c r="X48" s="4">
        <f t="shared" si="2"/>
        <v>-0.59208508851487818</v>
      </c>
      <c r="Y48" s="4">
        <f t="shared" si="0"/>
        <v>0.21916640766178738</v>
      </c>
      <c r="Z48" s="4">
        <v>102</v>
      </c>
      <c r="AA48" s="4">
        <v>100</v>
      </c>
      <c r="AB48" s="4">
        <v>202</v>
      </c>
      <c r="AC48" s="4"/>
      <c r="AD48" s="4"/>
      <c r="AE48" s="4"/>
      <c r="AF48" s="4"/>
      <c r="AG48" s="4"/>
    </row>
    <row r="49" spans="1:33" x14ac:dyDescent="0.35">
      <c r="A49" t="s">
        <v>45</v>
      </c>
      <c r="F49" s="4"/>
      <c r="G49" s="12" t="s">
        <v>90</v>
      </c>
      <c r="H49" s="18">
        <v>2024</v>
      </c>
      <c r="I49" s="37"/>
      <c r="J49" s="4"/>
      <c r="K49" s="4"/>
      <c r="L49" s="4" t="s">
        <v>268</v>
      </c>
      <c r="M49" s="4" t="s">
        <v>279</v>
      </c>
      <c r="N49" s="4" t="s">
        <v>57</v>
      </c>
      <c r="O49" s="4" t="s">
        <v>56</v>
      </c>
      <c r="P49" s="4" t="s">
        <v>53</v>
      </c>
      <c r="Q49" s="4" t="s">
        <v>192</v>
      </c>
      <c r="S49" s="4"/>
      <c r="T49" s="4">
        <v>0.61</v>
      </c>
      <c r="U49" s="4">
        <v>0.41</v>
      </c>
      <c r="V49" s="4">
        <v>0.91</v>
      </c>
      <c r="W49" s="4">
        <f t="shared" si="1"/>
        <v>1.96</v>
      </c>
      <c r="X49" s="4">
        <f t="shared" si="2"/>
        <v>-0.49295439937751245</v>
      </c>
      <c r="Y49" s="4">
        <f t="shared" si="0"/>
        <v>0.20338965301340367</v>
      </c>
      <c r="Z49" s="4">
        <v>127</v>
      </c>
      <c r="AA49" s="4">
        <v>132</v>
      </c>
      <c r="AB49" s="4">
        <v>259</v>
      </c>
      <c r="AC49" s="4"/>
      <c r="AD49" s="4"/>
      <c r="AE49" s="4"/>
      <c r="AF49" s="4"/>
      <c r="AG49" s="4"/>
    </row>
    <row r="50" spans="1:33" x14ac:dyDescent="0.35">
      <c r="A50" t="s">
        <v>45</v>
      </c>
      <c r="F50" s="4"/>
      <c r="G50" s="12" t="s">
        <v>90</v>
      </c>
      <c r="H50" s="18">
        <v>2024</v>
      </c>
      <c r="I50" s="37"/>
      <c r="J50" s="4"/>
      <c r="K50" s="4"/>
      <c r="L50" s="4" t="s">
        <v>268</v>
      </c>
      <c r="M50" s="4" t="s">
        <v>279</v>
      </c>
      <c r="N50" s="4" t="s">
        <v>58</v>
      </c>
      <c r="O50" s="4" t="s">
        <v>63</v>
      </c>
      <c r="P50" s="4" t="s">
        <v>53</v>
      </c>
      <c r="Q50" s="4" t="s">
        <v>192</v>
      </c>
      <c r="S50" s="4"/>
      <c r="T50" s="4">
        <v>0.53</v>
      </c>
      <c r="U50" s="4">
        <v>0.37</v>
      </c>
      <c r="V50" s="4">
        <v>0.75</v>
      </c>
      <c r="W50" s="4">
        <f t="shared" si="1"/>
        <v>1.96</v>
      </c>
      <c r="X50" s="4">
        <f t="shared" si="2"/>
        <v>-0.6409671728978239</v>
      </c>
      <c r="Y50" s="4">
        <f t="shared" si="0"/>
        <v>0.18024750022757297</v>
      </c>
      <c r="Z50" s="4">
        <v>167</v>
      </c>
      <c r="AA50" s="4">
        <v>160</v>
      </c>
      <c r="AB50" s="4">
        <v>327</v>
      </c>
      <c r="AC50" s="4"/>
      <c r="AD50" s="4"/>
      <c r="AE50" s="4"/>
      <c r="AF50" s="4"/>
      <c r="AG50" s="4"/>
    </row>
    <row r="51" spans="1:33" x14ac:dyDescent="0.35">
      <c r="A51" t="s">
        <v>45</v>
      </c>
      <c r="F51" s="4"/>
      <c r="G51" s="12" t="s">
        <v>90</v>
      </c>
      <c r="H51" s="18">
        <v>2024</v>
      </c>
      <c r="I51" s="37"/>
      <c r="J51" s="4"/>
      <c r="K51" s="4"/>
      <c r="L51" s="4" t="s">
        <v>268</v>
      </c>
      <c r="M51" s="4" t="s">
        <v>279</v>
      </c>
      <c r="N51" s="4" t="s">
        <v>58</v>
      </c>
      <c r="O51" s="4" t="s">
        <v>59</v>
      </c>
      <c r="P51" s="4" t="s">
        <v>53</v>
      </c>
      <c r="Q51" s="4" t="s">
        <v>192</v>
      </c>
      <c r="S51" s="4"/>
      <c r="T51" s="4">
        <v>0.71</v>
      </c>
      <c r="U51" s="4">
        <v>0.41</v>
      </c>
      <c r="V51" s="4">
        <v>1.2</v>
      </c>
      <c r="W51" s="4">
        <f t="shared" si="1"/>
        <v>1.96</v>
      </c>
      <c r="X51" s="4">
        <f t="shared" si="2"/>
        <v>-0.35463828124491453</v>
      </c>
      <c r="Y51" s="4">
        <f t="shared" si="0"/>
        <v>0.27395910104023935</v>
      </c>
      <c r="Z51" s="4">
        <v>62</v>
      </c>
      <c r="AA51" s="4">
        <v>72</v>
      </c>
      <c r="AB51" s="4">
        <v>134</v>
      </c>
      <c r="AC51" s="4"/>
      <c r="AD51" s="4"/>
      <c r="AE51" s="4"/>
      <c r="AF51" s="4"/>
      <c r="AG51" s="4"/>
    </row>
    <row r="52" spans="1:33" x14ac:dyDescent="0.35">
      <c r="A52" t="s">
        <v>45</v>
      </c>
      <c r="F52" s="4"/>
      <c r="G52" s="12" t="s">
        <v>90</v>
      </c>
      <c r="H52" s="18">
        <v>2024</v>
      </c>
      <c r="I52" s="37"/>
      <c r="J52" s="4"/>
      <c r="K52" s="4"/>
      <c r="L52" s="4" t="s">
        <v>268</v>
      </c>
      <c r="M52" s="4" t="s">
        <v>279</v>
      </c>
      <c r="N52" s="4" t="s">
        <v>68</v>
      </c>
      <c r="O52" s="4" t="s">
        <v>71</v>
      </c>
      <c r="P52" s="4" t="s">
        <v>53</v>
      </c>
      <c r="Q52" s="4" t="s">
        <v>192</v>
      </c>
      <c r="S52" s="4"/>
      <c r="T52" s="4">
        <v>0.59</v>
      </c>
      <c r="U52" s="4">
        <v>0.25</v>
      </c>
      <c r="V52" s="4">
        <v>1.38</v>
      </c>
      <c r="W52" s="4">
        <f t="shared" si="1"/>
        <v>1.96</v>
      </c>
      <c r="X52" s="4">
        <f t="shared" si="2"/>
        <v>-0.53210543097538865</v>
      </c>
      <c r="Y52" s="4">
        <f t="shared" si="0"/>
        <v>0.43581067864515405</v>
      </c>
      <c r="Z52" s="4">
        <v>23</v>
      </c>
      <c r="AA52" s="4">
        <v>21</v>
      </c>
      <c r="AB52" s="4">
        <v>44</v>
      </c>
      <c r="AC52" s="4"/>
      <c r="AD52" s="4"/>
      <c r="AE52" s="4"/>
      <c r="AF52" s="4"/>
      <c r="AG52" s="4"/>
    </row>
    <row r="53" spans="1:33" x14ac:dyDescent="0.35">
      <c r="A53" t="s">
        <v>45</v>
      </c>
      <c r="F53" s="4"/>
      <c r="G53" s="12" t="s">
        <v>90</v>
      </c>
      <c r="H53" s="18">
        <v>2024</v>
      </c>
      <c r="I53" s="37"/>
      <c r="J53" s="4"/>
      <c r="K53" s="4"/>
      <c r="L53" s="4" t="s">
        <v>268</v>
      </c>
      <c r="M53" s="4" t="s">
        <v>279</v>
      </c>
      <c r="N53" s="4" t="s">
        <v>68</v>
      </c>
      <c r="O53" s="4" t="s">
        <v>70</v>
      </c>
      <c r="P53" s="4" t="s">
        <v>53</v>
      </c>
      <c r="Q53" s="4" t="s">
        <v>192</v>
      </c>
      <c r="S53" s="4"/>
      <c r="T53" s="4">
        <v>0.61</v>
      </c>
      <c r="U53" s="4">
        <v>0.4</v>
      </c>
      <c r="V53" s="4">
        <v>0.92</v>
      </c>
      <c r="W53" s="4">
        <f t="shared" si="1"/>
        <v>1.96</v>
      </c>
      <c r="X53" s="4">
        <f t="shared" si="2"/>
        <v>-0.499836170406603</v>
      </c>
      <c r="Y53" s="4">
        <f t="shared" si="0"/>
        <v>0.21247681707528163</v>
      </c>
      <c r="Z53" s="4">
        <v>123</v>
      </c>
      <c r="AA53" s="4">
        <v>127</v>
      </c>
      <c r="AB53" s="4">
        <v>250</v>
      </c>
      <c r="AC53" s="4"/>
      <c r="AD53" s="4"/>
      <c r="AE53" s="4"/>
      <c r="AF53" s="4"/>
      <c r="AG53" s="4"/>
    </row>
    <row r="54" spans="1:33" x14ac:dyDescent="0.35">
      <c r="A54" t="s">
        <v>45</v>
      </c>
      <c r="F54" s="4"/>
      <c r="G54" s="12" t="s">
        <v>90</v>
      </c>
      <c r="H54" s="18">
        <v>2024</v>
      </c>
      <c r="I54" s="37"/>
      <c r="J54" s="4"/>
      <c r="K54" s="4"/>
      <c r="L54" s="4" t="s">
        <v>268</v>
      </c>
      <c r="M54" s="4" t="s">
        <v>279</v>
      </c>
      <c r="N54" s="4" t="s">
        <v>68</v>
      </c>
      <c r="O54" s="4" t="s">
        <v>69</v>
      </c>
      <c r="P54" s="4" t="s">
        <v>53</v>
      </c>
      <c r="Q54" s="4" t="s">
        <v>192</v>
      </c>
      <c r="S54" s="4"/>
      <c r="T54" s="4">
        <v>0.47</v>
      </c>
      <c r="U54" s="4">
        <v>0.26</v>
      </c>
      <c r="V54" s="4">
        <v>0.86</v>
      </c>
      <c r="W54" s="4">
        <f t="shared" si="1"/>
        <v>1.96</v>
      </c>
      <c r="X54" s="4">
        <f t="shared" si="2"/>
        <v>-0.7489482688505964</v>
      </c>
      <c r="Y54" s="4">
        <f t="shared" si="0"/>
        <v>0.30516600975306779</v>
      </c>
      <c r="Z54" s="4">
        <v>65</v>
      </c>
      <c r="AA54" s="4">
        <v>50</v>
      </c>
      <c r="AB54" s="4">
        <v>115</v>
      </c>
      <c r="AC54" s="4"/>
      <c r="AD54" s="4"/>
      <c r="AE54" s="4"/>
      <c r="AF54" s="4"/>
      <c r="AG54" s="4"/>
    </row>
    <row r="55" spans="1:33" x14ac:dyDescent="0.35">
      <c r="A55" t="s">
        <v>45</v>
      </c>
      <c r="F55" s="4"/>
      <c r="G55" s="12" t="s">
        <v>90</v>
      </c>
      <c r="H55" s="18">
        <v>2024</v>
      </c>
      <c r="I55" s="37"/>
      <c r="J55" s="4"/>
      <c r="K55" s="4"/>
      <c r="L55" s="4" t="s">
        <v>268</v>
      </c>
      <c r="M55" s="4" t="s">
        <v>279</v>
      </c>
      <c r="N55" s="4" t="s">
        <v>64</v>
      </c>
      <c r="O55" s="4">
        <v>0</v>
      </c>
      <c r="P55" s="4" t="s">
        <v>53</v>
      </c>
      <c r="Q55" s="4" t="s">
        <v>192</v>
      </c>
      <c r="S55" s="4"/>
      <c r="T55" s="4">
        <v>0.56999999999999995</v>
      </c>
      <c r="U55" s="4">
        <v>0.39</v>
      </c>
      <c r="V55" s="4">
        <v>0.83</v>
      </c>
      <c r="W55" s="4">
        <f t="shared" si="1"/>
        <v>1.96</v>
      </c>
      <c r="X55" s="4">
        <f t="shared" si="2"/>
        <v>-0.56396905902496919</v>
      </c>
      <c r="Y55" s="4">
        <f t="shared" si="0"/>
        <v>0.19267320450687539</v>
      </c>
      <c r="Z55" s="4">
        <v>147</v>
      </c>
      <c r="AA55" s="4">
        <v>141</v>
      </c>
      <c r="AB55" s="4">
        <v>288</v>
      </c>
      <c r="AC55" s="4"/>
      <c r="AD55" s="4"/>
      <c r="AE55" s="4"/>
      <c r="AF55" s="4"/>
      <c r="AG55" s="4"/>
    </row>
    <row r="56" spans="1:33" x14ac:dyDescent="0.35">
      <c r="A56" t="s">
        <v>45</v>
      </c>
      <c r="F56" s="4"/>
      <c r="G56" s="12" t="s">
        <v>90</v>
      </c>
      <c r="H56" s="18">
        <v>2024</v>
      </c>
      <c r="I56" s="37"/>
      <c r="J56" s="4"/>
      <c r="K56" s="4"/>
      <c r="L56" s="4" t="s">
        <v>268</v>
      </c>
      <c r="M56" s="4" t="s">
        <v>279</v>
      </c>
      <c r="N56" s="4" t="s">
        <v>64</v>
      </c>
      <c r="O56" s="4">
        <v>1</v>
      </c>
      <c r="P56" s="4" t="s">
        <v>53</v>
      </c>
      <c r="Q56" s="4" t="s">
        <v>192</v>
      </c>
      <c r="S56" s="4"/>
      <c r="T56" s="4">
        <v>0.61</v>
      </c>
      <c r="U56" s="4">
        <v>0.39</v>
      </c>
      <c r="V56" s="4">
        <v>0.97</v>
      </c>
      <c r="W56" s="4">
        <f t="shared" si="1"/>
        <v>1.96</v>
      </c>
      <c r="X56" s="4">
        <f t="shared" si="2"/>
        <v>-0.48603387367157674</v>
      </c>
      <c r="Y56" s="4">
        <f t="shared" si="0"/>
        <v>0.23243605417697358</v>
      </c>
      <c r="Z56" s="4">
        <v>82</v>
      </c>
      <c r="AA56" s="4">
        <v>91</v>
      </c>
      <c r="AB56" s="4">
        <v>173</v>
      </c>
      <c r="AC56" s="4"/>
      <c r="AD56" s="4"/>
      <c r="AE56" s="4"/>
      <c r="AF56" s="4"/>
      <c r="AG56" s="4"/>
    </row>
    <row r="57" spans="1:33" x14ac:dyDescent="0.35">
      <c r="A57" t="s">
        <v>45</v>
      </c>
      <c r="F57" s="4"/>
      <c r="G57" s="12" t="s">
        <v>90</v>
      </c>
      <c r="H57" s="18">
        <v>2024</v>
      </c>
      <c r="I57" s="37"/>
      <c r="J57" s="4"/>
      <c r="K57" s="4"/>
      <c r="L57" s="4" t="s">
        <v>268</v>
      </c>
      <c r="M57" s="4" t="s">
        <v>279</v>
      </c>
      <c r="N57" s="4" t="s">
        <v>77</v>
      </c>
      <c r="O57" s="4" t="s">
        <v>83</v>
      </c>
      <c r="P57" s="4" t="s">
        <v>53</v>
      </c>
      <c r="Q57" s="4" t="s">
        <v>192</v>
      </c>
      <c r="S57" s="4"/>
      <c r="T57" s="4">
        <v>0.81</v>
      </c>
      <c r="U57" s="4">
        <v>0.46</v>
      </c>
      <c r="V57" s="4">
        <v>1.43</v>
      </c>
      <c r="W57" s="4">
        <f t="shared" si="1"/>
        <v>1.96</v>
      </c>
      <c r="X57" s="4">
        <f t="shared" si="2"/>
        <v>-0.2094271726135902</v>
      </c>
      <c r="Y57" s="4">
        <f t="shared" si="0"/>
        <v>0.28933755963541125</v>
      </c>
      <c r="Z57" s="4">
        <v>81</v>
      </c>
      <c r="AA57" s="4">
        <v>81</v>
      </c>
      <c r="AB57" s="4">
        <v>162</v>
      </c>
      <c r="AC57" s="4"/>
      <c r="AD57" s="4"/>
      <c r="AE57" s="4"/>
      <c r="AF57" s="4"/>
      <c r="AG57" s="4"/>
    </row>
    <row r="58" spans="1:33" x14ac:dyDescent="0.35">
      <c r="A58" t="s">
        <v>45</v>
      </c>
      <c r="F58" s="4"/>
      <c r="G58" s="12" t="s">
        <v>90</v>
      </c>
      <c r="H58" s="18">
        <v>2024</v>
      </c>
      <c r="I58" s="37"/>
      <c r="J58" s="4"/>
      <c r="K58" s="4"/>
      <c r="L58" s="4" t="s">
        <v>268</v>
      </c>
      <c r="M58" s="4" t="s">
        <v>279</v>
      </c>
      <c r="N58" s="4" t="s">
        <v>77</v>
      </c>
      <c r="O58" s="4" t="s">
        <v>23</v>
      </c>
      <c r="P58" s="4" t="s">
        <v>53</v>
      </c>
      <c r="Q58" s="4" t="s">
        <v>192</v>
      </c>
      <c r="S58" s="4"/>
      <c r="T58" s="4">
        <v>0.51</v>
      </c>
      <c r="U58" s="4">
        <v>0.36</v>
      </c>
      <c r="V58" s="4">
        <v>0.72</v>
      </c>
      <c r="W58" s="4">
        <f t="shared" si="1"/>
        <v>1.96</v>
      </c>
      <c r="X58" s="4">
        <f t="shared" si="2"/>
        <v>-0.67507765725200874</v>
      </c>
      <c r="Y58" s="4">
        <f t="shared" si="0"/>
        <v>0.17682326034692486</v>
      </c>
      <c r="Z58" s="4">
        <v>146</v>
      </c>
      <c r="AA58" s="4">
        <v>149</v>
      </c>
      <c r="AB58" s="4">
        <v>297</v>
      </c>
      <c r="AC58" s="4"/>
      <c r="AD58" s="4"/>
      <c r="AE58" s="4"/>
      <c r="AF58" s="4"/>
      <c r="AG58" s="4"/>
    </row>
    <row r="59" spans="1:33" x14ac:dyDescent="0.35">
      <c r="A59" t="s">
        <v>45</v>
      </c>
      <c r="F59" s="4"/>
      <c r="G59" s="12" t="s">
        <v>90</v>
      </c>
      <c r="H59" s="18">
        <v>2024</v>
      </c>
      <c r="I59" s="37"/>
      <c r="J59" s="4"/>
      <c r="K59" s="4"/>
      <c r="L59" s="4" t="s">
        <v>268</v>
      </c>
      <c r="M59" s="4" t="s">
        <v>279</v>
      </c>
      <c r="N59" s="4" t="s">
        <v>285</v>
      </c>
      <c r="O59" s="4" t="s">
        <v>286</v>
      </c>
      <c r="P59" s="4" t="s">
        <v>53</v>
      </c>
      <c r="Q59" s="4" t="s">
        <v>192</v>
      </c>
      <c r="S59" s="4"/>
      <c r="T59" s="4">
        <v>0.8</v>
      </c>
      <c r="U59" s="4">
        <v>0.48</v>
      </c>
      <c r="V59" s="4">
        <v>1.32</v>
      </c>
      <c r="W59" s="4">
        <f t="shared" si="1"/>
        <v>1.96</v>
      </c>
      <c r="X59" s="4">
        <f t="shared" si="2"/>
        <v>-0.22816871924096044</v>
      </c>
      <c r="Y59" s="4">
        <f t="shared" si="0"/>
        <v>0.25806145706083672</v>
      </c>
      <c r="Z59" s="4">
        <v>80</v>
      </c>
      <c r="AA59" s="4">
        <v>87</v>
      </c>
      <c r="AB59" s="4">
        <v>167</v>
      </c>
      <c r="AC59" s="4"/>
      <c r="AD59" s="4"/>
      <c r="AE59" s="4"/>
      <c r="AF59" s="4"/>
      <c r="AG59" s="4"/>
    </row>
    <row r="60" spans="1:33" x14ac:dyDescent="0.35">
      <c r="A60" t="s">
        <v>45</v>
      </c>
      <c r="F60" s="4"/>
      <c r="G60" s="12" t="s">
        <v>90</v>
      </c>
      <c r="H60" s="18">
        <v>2024</v>
      </c>
      <c r="I60" s="37"/>
      <c r="J60" s="4"/>
      <c r="K60" s="4"/>
      <c r="L60" s="4" t="s">
        <v>268</v>
      </c>
      <c r="M60" s="4" t="s">
        <v>279</v>
      </c>
      <c r="N60" s="4" t="s">
        <v>285</v>
      </c>
      <c r="O60" s="4" t="s">
        <v>287</v>
      </c>
      <c r="P60" s="4" t="s">
        <v>53</v>
      </c>
      <c r="Q60" s="4" t="s">
        <v>192</v>
      </c>
      <c r="S60" s="4"/>
      <c r="T60" s="4">
        <v>0.57999999999999996</v>
      </c>
      <c r="U60" s="4">
        <v>0.28999999999999998</v>
      </c>
      <c r="V60" s="4">
        <v>1.1599999999999999</v>
      </c>
      <c r="W60" s="4">
        <f t="shared" si="1"/>
        <v>1.96</v>
      </c>
      <c r="X60" s="4">
        <f t="shared" si="2"/>
        <v>-0.54472717544167215</v>
      </c>
      <c r="Y60" s="4">
        <f t="shared" si="0"/>
        <v>0.35364652069384966</v>
      </c>
      <c r="Z60" s="4">
        <v>56</v>
      </c>
      <c r="AA60" s="4">
        <v>52</v>
      </c>
      <c r="AB60" s="4">
        <v>108</v>
      </c>
      <c r="AC60" s="4"/>
      <c r="AD60" s="4"/>
      <c r="AE60" s="4"/>
      <c r="AF60" s="4"/>
      <c r="AG60" s="4"/>
    </row>
    <row r="61" spans="1:33" x14ac:dyDescent="0.35">
      <c r="A61" t="s">
        <v>45</v>
      </c>
      <c r="F61" s="4"/>
      <c r="G61" s="12" t="s">
        <v>90</v>
      </c>
      <c r="H61" s="18">
        <v>2024</v>
      </c>
      <c r="I61" s="37"/>
      <c r="J61" s="4"/>
      <c r="K61" s="4"/>
      <c r="L61" s="4" t="s">
        <v>268</v>
      </c>
      <c r="M61" s="4" t="s">
        <v>279</v>
      </c>
      <c r="N61" s="4" t="s">
        <v>285</v>
      </c>
      <c r="O61" s="4" t="s">
        <v>220</v>
      </c>
      <c r="P61" s="4" t="s">
        <v>53</v>
      </c>
      <c r="Q61" s="4" t="s">
        <v>192</v>
      </c>
      <c r="S61" s="4"/>
      <c r="T61" s="4">
        <v>0.46</v>
      </c>
      <c r="U61" s="4">
        <v>0.3</v>
      </c>
      <c r="V61" s="4">
        <v>0.7</v>
      </c>
      <c r="W61" s="4">
        <f t="shared" si="1"/>
        <v>1.96</v>
      </c>
      <c r="X61" s="4">
        <f t="shared" si="2"/>
        <v>-0.78032387413233428</v>
      </c>
      <c r="Y61" s="4">
        <f t="shared" si="0"/>
        <v>0.21614741336408258</v>
      </c>
      <c r="Z61" s="4">
        <v>91</v>
      </c>
      <c r="AA61" s="4">
        <v>91</v>
      </c>
      <c r="AB61" s="4">
        <v>182</v>
      </c>
      <c r="AC61" s="4"/>
      <c r="AD61" s="4"/>
      <c r="AE61" s="4"/>
      <c r="AF61" s="4"/>
      <c r="AG61" s="4"/>
    </row>
    <row r="62" spans="1:33" x14ac:dyDescent="0.35">
      <c r="A62" t="s">
        <v>45</v>
      </c>
      <c r="F62" s="4"/>
      <c r="G62" s="12" t="s">
        <v>90</v>
      </c>
      <c r="H62" s="18">
        <v>2024</v>
      </c>
      <c r="I62" s="37"/>
      <c r="J62" s="4"/>
      <c r="K62" s="4"/>
      <c r="L62" s="4" t="s">
        <v>268</v>
      </c>
      <c r="M62" s="4" t="s">
        <v>279</v>
      </c>
      <c r="N62" s="4" t="s">
        <v>285</v>
      </c>
      <c r="O62" s="4" t="s">
        <v>288</v>
      </c>
      <c r="P62" s="4" t="s">
        <v>53</v>
      </c>
      <c r="Q62" s="4" t="s">
        <v>192</v>
      </c>
      <c r="S62" s="4"/>
      <c r="T62" s="4">
        <v>0.49</v>
      </c>
      <c r="U62" s="4">
        <v>0.28999999999999998</v>
      </c>
      <c r="V62" s="4">
        <v>0.84</v>
      </c>
      <c r="W62" s="4">
        <f t="shared" si="1"/>
        <v>1.96</v>
      </c>
      <c r="X62" s="4">
        <f t="shared" si="2"/>
        <v>-0.7061138715731976</v>
      </c>
      <c r="Y62" s="4">
        <f t="shared" si="0"/>
        <v>0.27130636960633664</v>
      </c>
      <c r="Z62" s="4">
        <v>59</v>
      </c>
      <c r="AA62" s="4">
        <v>53</v>
      </c>
      <c r="AB62" s="4">
        <v>112</v>
      </c>
      <c r="AC62" s="4"/>
      <c r="AD62" s="4"/>
      <c r="AE62" s="4"/>
      <c r="AF62" s="4"/>
      <c r="AG62" s="4"/>
    </row>
    <row r="63" spans="1:33" x14ac:dyDescent="0.35">
      <c r="A63" t="s">
        <v>45</v>
      </c>
      <c r="F63" s="4"/>
      <c r="G63" s="12" t="s">
        <v>90</v>
      </c>
      <c r="H63" s="18">
        <v>2024</v>
      </c>
      <c r="I63" s="37"/>
      <c r="J63" s="4"/>
      <c r="K63" s="4"/>
      <c r="L63" s="4" t="s">
        <v>268</v>
      </c>
      <c r="M63" s="4" t="s">
        <v>279</v>
      </c>
      <c r="N63" s="4" t="s">
        <v>285</v>
      </c>
      <c r="O63" s="4" t="s">
        <v>289</v>
      </c>
      <c r="P63" s="4" t="s">
        <v>53</v>
      </c>
      <c r="Q63" s="4" t="s">
        <v>192</v>
      </c>
      <c r="S63" s="4"/>
      <c r="T63" s="4">
        <v>0.43</v>
      </c>
      <c r="U63" s="4">
        <v>0.21</v>
      </c>
      <c r="V63" s="4">
        <v>0.88</v>
      </c>
      <c r="W63" s="4">
        <f t="shared" si="1"/>
        <v>1.96</v>
      </c>
      <c r="X63" s="4">
        <f t="shared" si="2"/>
        <v>-0.84424055988727664</v>
      </c>
      <c r="Y63" s="4">
        <f t="shared" si="0"/>
        <v>0.3655138716211182</v>
      </c>
      <c r="Z63" s="4">
        <v>31</v>
      </c>
      <c r="AA63" s="4">
        <v>38</v>
      </c>
      <c r="AB63" s="4">
        <v>69</v>
      </c>
      <c r="AC63" s="4"/>
      <c r="AD63" s="4"/>
      <c r="AE63" s="4"/>
      <c r="AF63" s="4"/>
      <c r="AG63" s="4"/>
    </row>
    <row r="64" spans="1:33" x14ac:dyDescent="0.35">
      <c r="A64" t="s">
        <v>45</v>
      </c>
      <c r="F64" s="4"/>
      <c r="G64" s="12" t="s">
        <v>90</v>
      </c>
      <c r="H64" s="18">
        <v>2024</v>
      </c>
      <c r="I64" s="37"/>
      <c r="J64" s="4"/>
      <c r="K64" s="4"/>
      <c r="L64" s="4" t="s">
        <v>268</v>
      </c>
      <c r="M64" s="4" t="s">
        <v>279</v>
      </c>
      <c r="N64" s="4" t="s">
        <v>79</v>
      </c>
      <c r="O64" s="4" t="s">
        <v>81</v>
      </c>
      <c r="P64" s="4" t="s">
        <v>53</v>
      </c>
      <c r="Q64" s="4" t="s">
        <v>192</v>
      </c>
      <c r="S64" s="4"/>
      <c r="T64" s="4">
        <v>0.46</v>
      </c>
      <c r="U64" s="4">
        <v>0.3</v>
      </c>
      <c r="V64" s="4">
        <v>0.72</v>
      </c>
      <c r="W64" s="4">
        <f t="shared" si="1"/>
        <v>1.96</v>
      </c>
      <c r="X64" s="4">
        <f t="shared" si="2"/>
        <v>-0.76623843564898608</v>
      </c>
      <c r="Y64" s="4">
        <f t="shared" si="0"/>
        <v>0.22333386156987248</v>
      </c>
      <c r="Z64" s="4">
        <v>116</v>
      </c>
      <c r="AA64" s="4">
        <v>118</v>
      </c>
      <c r="AB64" s="4">
        <v>234</v>
      </c>
      <c r="AC64" s="4"/>
      <c r="AD64" s="4"/>
      <c r="AE64" s="4"/>
      <c r="AF64" s="4"/>
      <c r="AG64" s="4"/>
    </row>
    <row r="65" spans="1:33" x14ac:dyDescent="0.35">
      <c r="A65" t="s">
        <v>45</v>
      </c>
      <c r="F65" s="4"/>
      <c r="G65" s="12" t="s">
        <v>90</v>
      </c>
      <c r="H65" s="18">
        <v>2024</v>
      </c>
      <c r="I65" s="37"/>
      <c r="J65" s="4"/>
      <c r="K65" s="4"/>
      <c r="L65" s="4" t="s">
        <v>268</v>
      </c>
      <c r="M65" s="4" t="s">
        <v>279</v>
      </c>
      <c r="N65" s="4" t="s">
        <v>79</v>
      </c>
      <c r="O65" s="4" t="s">
        <v>80</v>
      </c>
      <c r="P65" s="4" t="s">
        <v>53</v>
      </c>
      <c r="Q65" s="4" t="s">
        <v>192</v>
      </c>
      <c r="S65" s="4"/>
      <c r="T65" s="4">
        <v>0.72</v>
      </c>
      <c r="U65" s="4">
        <v>0.49</v>
      </c>
      <c r="V65" s="4">
        <v>1.07</v>
      </c>
      <c r="W65" s="4">
        <f t="shared" si="1"/>
        <v>1.96</v>
      </c>
      <c r="X65" s="4">
        <f t="shared" si="2"/>
        <v>-0.32284561970182496</v>
      </c>
      <c r="Y65" s="4">
        <f t="shared" si="0"/>
        <v>0.19923687151818359</v>
      </c>
      <c r="Z65" s="4">
        <v>113</v>
      </c>
      <c r="AA65" s="4">
        <v>114</v>
      </c>
      <c r="AB65" s="4">
        <v>227</v>
      </c>
      <c r="AC65" s="4"/>
      <c r="AD65" s="4"/>
      <c r="AE65" s="4"/>
      <c r="AF65" s="4"/>
      <c r="AG65" s="4"/>
    </row>
    <row r="66" spans="1:33" x14ac:dyDescent="0.35">
      <c r="A66" t="s">
        <v>45</v>
      </c>
      <c r="F66" s="4"/>
      <c r="G66" s="12" t="s">
        <v>90</v>
      </c>
      <c r="H66" s="18">
        <v>2024</v>
      </c>
      <c r="I66" s="37"/>
      <c r="J66" s="4"/>
      <c r="K66" s="4"/>
      <c r="L66" s="4" t="s">
        <v>268</v>
      </c>
      <c r="M66" s="4" t="s">
        <v>279</v>
      </c>
      <c r="N66" s="4" t="s">
        <v>73</v>
      </c>
      <c r="O66" s="4" t="s">
        <v>99</v>
      </c>
      <c r="P66" s="4" t="s">
        <v>53</v>
      </c>
      <c r="Q66" s="4" t="s">
        <v>192</v>
      </c>
      <c r="S66" s="4"/>
      <c r="T66" s="4">
        <v>0.54</v>
      </c>
      <c r="U66" s="4">
        <v>0.4</v>
      </c>
      <c r="V66" s="4">
        <v>0.74</v>
      </c>
      <c r="W66" s="4">
        <f t="shared" si="1"/>
        <v>1.96</v>
      </c>
      <c r="X66" s="4">
        <f t="shared" si="2"/>
        <v>-0.60869791232903836</v>
      </c>
      <c r="Y66" s="4">
        <f t="shared" ref="Y66:Y129" si="3">( LN(V66) - LN(U66))/(2*W66)</f>
        <v>0.15693511201281465</v>
      </c>
      <c r="Z66" s="4">
        <v>212</v>
      </c>
      <c r="AA66" s="4">
        <v>205</v>
      </c>
      <c r="AB66" s="4">
        <v>417</v>
      </c>
      <c r="AC66" s="4"/>
      <c r="AD66" s="4"/>
      <c r="AE66" s="4"/>
      <c r="AF66" s="4"/>
      <c r="AG66" s="4"/>
    </row>
    <row r="67" spans="1:33" x14ac:dyDescent="0.35">
      <c r="A67" t="s">
        <v>45</v>
      </c>
      <c r="F67" s="4"/>
      <c r="G67" s="12" t="s">
        <v>90</v>
      </c>
      <c r="H67" s="18">
        <v>2024</v>
      </c>
      <c r="I67" s="37"/>
      <c r="J67" s="4"/>
      <c r="K67" s="4"/>
      <c r="L67" s="4" t="s">
        <v>268</v>
      </c>
      <c r="M67" s="4" t="s">
        <v>279</v>
      </c>
      <c r="N67" s="4" t="s">
        <v>73</v>
      </c>
      <c r="O67" s="4" t="s">
        <v>76</v>
      </c>
      <c r="P67" s="4" t="s">
        <v>53</v>
      </c>
      <c r="Q67" s="4" t="s">
        <v>192</v>
      </c>
      <c r="S67" s="4"/>
      <c r="T67" s="4">
        <v>1.32</v>
      </c>
      <c r="U67" s="4">
        <v>0.54</v>
      </c>
      <c r="V67" s="4">
        <v>3.2</v>
      </c>
      <c r="W67" s="4">
        <f t="shared" ref="W67:W130" si="4">IF(ISBLANK(S67), 1.96, _xlfn.NORM.S.INV((1 + S67/100)/2))</f>
        <v>1.96</v>
      </c>
      <c r="X67" s="4">
        <f t="shared" ref="X67:X130" si="5">(LN(U67) + LN(V67))/2</f>
        <v>0.27348233519093196</v>
      </c>
      <c r="Y67" s="4">
        <f t="shared" si="3"/>
        <v>0.45391248704834131</v>
      </c>
      <c r="Z67" s="4">
        <v>17</v>
      </c>
      <c r="AA67" s="4">
        <v>27</v>
      </c>
      <c r="AB67" s="4">
        <v>44</v>
      </c>
      <c r="AC67" s="4"/>
      <c r="AD67" s="4"/>
      <c r="AE67" s="4"/>
      <c r="AF67" s="4"/>
      <c r="AG67" s="4"/>
    </row>
    <row r="68" spans="1:33" x14ac:dyDescent="0.35">
      <c r="A68" t="s">
        <v>45</v>
      </c>
      <c r="F68" s="4"/>
      <c r="G68" s="12" t="s">
        <v>90</v>
      </c>
      <c r="H68" s="18">
        <v>2024</v>
      </c>
      <c r="I68" s="37"/>
      <c r="J68" s="4"/>
      <c r="K68" s="4"/>
      <c r="L68" s="4" t="s">
        <v>268</v>
      </c>
      <c r="M68" s="4" t="s">
        <v>279</v>
      </c>
      <c r="N68" s="4" t="s">
        <v>225</v>
      </c>
      <c r="O68" s="4" t="s">
        <v>290</v>
      </c>
      <c r="P68" s="4" t="s">
        <v>53</v>
      </c>
      <c r="Q68" s="4" t="s">
        <v>192</v>
      </c>
      <c r="S68" s="4"/>
      <c r="T68" s="4">
        <v>0.73</v>
      </c>
      <c r="U68" s="4">
        <v>0.47</v>
      </c>
      <c r="V68" s="4">
        <v>1.1499999999999999</v>
      </c>
      <c r="W68" s="4">
        <f t="shared" si="4"/>
        <v>1.96</v>
      </c>
      <c r="X68" s="4">
        <f t="shared" si="5"/>
        <v>-0.30763032095143711</v>
      </c>
      <c r="Y68" s="4">
        <f t="shared" si="3"/>
        <v>0.22826135884009985</v>
      </c>
      <c r="Z68" s="4">
        <v>93</v>
      </c>
      <c r="AA68" s="4">
        <v>93</v>
      </c>
      <c r="AB68" s="4">
        <v>186</v>
      </c>
      <c r="AC68" s="4"/>
      <c r="AD68" s="4"/>
      <c r="AE68" s="4"/>
      <c r="AF68" s="4"/>
      <c r="AG68" s="4"/>
    </row>
    <row r="69" spans="1:33" x14ac:dyDescent="0.35">
      <c r="A69" t="s">
        <v>45</v>
      </c>
      <c r="F69" s="4"/>
      <c r="G69" s="12" t="s">
        <v>90</v>
      </c>
      <c r="H69" s="18">
        <v>2024</v>
      </c>
      <c r="I69" s="37"/>
      <c r="J69" s="4"/>
      <c r="K69" s="4"/>
      <c r="L69" s="4" t="s">
        <v>268</v>
      </c>
      <c r="M69" s="4" t="s">
        <v>279</v>
      </c>
      <c r="N69" s="4" t="s">
        <v>101</v>
      </c>
      <c r="O69" s="4" t="s">
        <v>281</v>
      </c>
      <c r="P69" s="4" t="s">
        <v>53</v>
      </c>
      <c r="Q69" s="4" t="s">
        <v>192</v>
      </c>
      <c r="S69" s="4"/>
      <c r="T69" s="4">
        <v>0.52</v>
      </c>
      <c r="U69" s="4">
        <v>0.35</v>
      </c>
      <c r="V69" s="4">
        <v>0.78</v>
      </c>
      <c r="W69" s="4">
        <f t="shared" si="4"/>
        <v>1.96</v>
      </c>
      <c r="X69" s="4">
        <f t="shared" si="5"/>
        <v>-0.64914174189858875</v>
      </c>
      <c r="Y69" s="4">
        <f t="shared" si="3"/>
        <v>0.20442876663269852</v>
      </c>
      <c r="Z69" s="4">
        <v>128</v>
      </c>
      <c r="AA69" s="4">
        <v>128</v>
      </c>
      <c r="AB69" s="4">
        <v>256</v>
      </c>
      <c r="AC69" s="4"/>
      <c r="AD69" s="4"/>
      <c r="AE69" s="4"/>
      <c r="AF69" s="4"/>
      <c r="AG69" s="4"/>
    </row>
    <row r="70" spans="1:33" x14ac:dyDescent="0.35">
      <c r="A70" t="s">
        <v>45</v>
      </c>
      <c r="F70" s="4"/>
      <c r="G70" s="12" t="s">
        <v>90</v>
      </c>
      <c r="H70" s="18">
        <v>2024</v>
      </c>
      <c r="I70" s="37"/>
      <c r="J70" s="4"/>
      <c r="K70" s="4"/>
      <c r="L70" s="4" t="s">
        <v>268</v>
      </c>
      <c r="M70" s="4" t="s">
        <v>279</v>
      </c>
      <c r="N70" s="4" t="s">
        <v>101</v>
      </c>
      <c r="O70" s="4" t="s">
        <v>276</v>
      </c>
      <c r="P70" s="4" t="s">
        <v>53</v>
      </c>
      <c r="Q70" s="4" t="s">
        <v>192</v>
      </c>
      <c r="S70" s="4"/>
      <c r="T70" s="4">
        <v>0.76</v>
      </c>
      <c r="U70" s="4">
        <v>0.46</v>
      </c>
      <c r="V70" s="4">
        <v>1.25</v>
      </c>
      <c r="W70" s="4">
        <f t="shared" si="4"/>
        <v>1.96</v>
      </c>
      <c r="X70" s="4">
        <f t="shared" si="5"/>
        <v>-0.27669261909239329</v>
      </c>
      <c r="Y70" s="4">
        <f t="shared" si="3"/>
        <v>0.25501845428908315</v>
      </c>
      <c r="Z70" s="4">
        <v>83</v>
      </c>
      <c r="AA70" s="4">
        <v>76</v>
      </c>
      <c r="AB70" s="4">
        <v>159</v>
      </c>
      <c r="AC70" s="4"/>
      <c r="AD70" s="4"/>
      <c r="AE70" s="4"/>
      <c r="AF70" s="4"/>
      <c r="AG70" s="4"/>
    </row>
    <row r="71" spans="1:33" x14ac:dyDescent="0.35">
      <c r="A71" t="s">
        <v>45</v>
      </c>
      <c r="F71" s="4"/>
      <c r="G71" s="12" t="s">
        <v>90</v>
      </c>
      <c r="H71" s="18">
        <v>2024</v>
      </c>
      <c r="I71" s="37"/>
      <c r="J71" s="4"/>
      <c r="K71" s="4"/>
      <c r="L71" s="4" t="s">
        <v>268</v>
      </c>
      <c r="M71" s="4" t="s">
        <v>279</v>
      </c>
      <c r="N71" s="4" t="s">
        <v>101</v>
      </c>
      <c r="O71" s="4" t="s">
        <v>277</v>
      </c>
      <c r="P71" s="4" t="s">
        <v>53</v>
      </c>
      <c r="Q71" s="4" t="s">
        <v>192</v>
      </c>
      <c r="S71" s="4"/>
      <c r="T71" s="4">
        <v>0.26</v>
      </c>
      <c r="U71" s="4">
        <v>0.12</v>
      </c>
      <c r="V71" s="4">
        <v>0.55000000000000004</v>
      </c>
      <c r="W71" s="4">
        <f t="shared" si="4"/>
        <v>1.96</v>
      </c>
      <c r="X71" s="4">
        <f t="shared" si="5"/>
        <v>-1.3590502684778558</v>
      </c>
      <c r="Y71" s="4">
        <f t="shared" si="3"/>
        <v>0.38837411618481393</v>
      </c>
      <c r="Z71" s="4">
        <v>45</v>
      </c>
      <c r="AA71" s="4">
        <v>52</v>
      </c>
      <c r="AB71" s="4">
        <v>97</v>
      </c>
      <c r="AC71" s="4"/>
      <c r="AD71" s="4"/>
      <c r="AE71" s="4"/>
      <c r="AF71" s="4"/>
      <c r="AG71" s="4"/>
    </row>
    <row r="72" spans="1:33" x14ac:dyDescent="0.35">
      <c r="A72" t="s">
        <v>45</v>
      </c>
      <c r="F72" s="4"/>
      <c r="G72" s="12" t="s">
        <v>90</v>
      </c>
      <c r="H72" s="18">
        <v>2024</v>
      </c>
      <c r="I72" s="37"/>
      <c r="J72" s="4"/>
      <c r="K72" s="4"/>
      <c r="L72" s="4" t="s">
        <v>268</v>
      </c>
      <c r="M72" s="4" t="s">
        <v>279</v>
      </c>
      <c r="N72" s="4" t="s">
        <v>109</v>
      </c>
      <c r="O72" s="4" t="s">
        <v>111</v>
      </c>
      <c r="P72" s="4" t="s">
        <v>53</v>
      </c>
      <c r="Q72" s="4" t="s">
        <v>192</v>
      </c>
      <c r="S72" s="4"/>
      <c r="T72" s="4">
        <v>0.61</v>
      </c>
      <c r="U72" s="4">
        <v>0.35</v>
      </c>
      <c r="V72" s="4">
        <v>1.08</v>
      </c>
      <c r="W72" s="4">
        <f t="shared" si="4"/>
        <v>1.96</v>
      </c>
      <c r="X72" s="4">
        <f t="shared" si="5"/>
        <v>-0.48643054168127475</v>
      </c>
      <c r="Y72" s="4">
        <f t="shared" si="3"/>
        <v>0.28744468511091997</v>
      </c>
      <c r="Z72" s="4">
        <v>55</v>
      </c>
      <c r="AA72" s="4">
        <v>42</v>
      </c>
      <c r="AB72" s="4">
        <v>97</v>
      </c>
      <c r="AC72" s="4"/>
      <c r="AD72" s="4"/>
      <c r="AE72" s="4"/>
      <c r="AF72" s="4"/>
      <c r="AG72" s="4"/>
    </row>
    <row r="73" spans="1:33" x14ac:dyDescent="0.35">
      <c r="A73" t="s">
        <v>45</v>
      </c>
      <c r="F73" s="4"/>
      <c r="G73" s="12" t="s">
        <v>90</v>
      </c>
      <c r="H73" s="18">
        <v>2024</v>
      </c>
      <c r="I73" s="37"/>
      <c r="J73" s="4"/>
      <c r="K73" s="4"/>
      <c r="L73" s="4" t="s">
        <v>268</v>
      </c>
      <c r="M73" s="4" t="s">
        <v>279</v>
      </c>
      <c r="N73" s="4" t="s">
        <v>109</v>
      </c>
      <c r="O73" s="4" t="s">
        <v>110</v>
      </c>
      <c r="P73" s="4" t="s">
        <v>53</v>
      </c>
      <c r="Q73" s="4" t="s">
        <v>192</v>
      </c>
      <c r="S73" s="4"/>
      <c r="T73" s="4">
        <v>0.53</v>
      </c>
      <c r="U73" s="4">
        <v>0.37</v>
      </c>
      <c r="V73" s="4">
        <v>0.75</v>
      </c>
      <c r="W73" s="4">
        <f t="shared" si="4"/>
        <v>1.96</v>
      </c>
      <c r="X73" s="4">
        <f t="shared" si="5"/>
        <v>-0.6409671728978239</v>
      </c>
      <c r="Y73" s="4">
        <f t="shared" si="3"/>
        <v>0.18024750022757297</v>
      </c>
      <c r="Z73" s="4">
        <v>167</v>
      </c>
      <c r="AA73" s="4">
        <v>180</v>
      </c>
      <c r="AB73" s="4">
        <v>347</v>
      </c>
      <c r="AC73" s="4"/>
      <c r="AD73" s="4"/>
      <c r="AE73" s="4"/>
      <c r="AF73" s="4"/>
      <c r="AG73" s="4"/>
    </row>
    <row r="74" spans="1:33" x14ac:dyDescent="0.35">
      <c r="A74" t="s">
        <v>45</v>
      </c>
      <c r="F74" s="8"/>
      <c r="G74" s="12" t="s">
        <v>94</v>
      </c>
      <c r="H74" s="18">
        <v>2023</v>
      </c>
      <c r="I74" s="37" t="s">
        <v>315</v>
      </c>
      <c r="J74" s="8"/>
      <c r="K74" s="8"/>
      <c r="L74" s="4" t="s">
        <v>268</v>
      </c>
      <c r="M74" s="4" t="s">
        <v>279</v>
      </c>
      <c r="N74" s="4" t="s">
        <v>41</v>
      </c>
      <c r="O74" s="4" t="s">
        <v>41</v>
      </c>
      <c r="P74" s="4" t="s">
        <v>49</v>
      </c>
      <c r="Q74" s="4" t="s">
        <v>192</v>
      </c>
      <c r="S74" s="4">
        <v>95</v>
      </c>
      <c r="T74" s="4">
        <v>0.68</v>
      </c>
      <c r="U74" s="4">
        <v>0.53</v>
      </c>
      <c r="V74" s="4">
        <v>0.88</v>
      </c>
      <c r="W74" s="4">
        <f t="shared" si="4"/>
        <v>1.9599639845400536</v>
      </c>
      <c r="X74" s="20">
        <f t="shared" si="5"/>
        <v>-0.38135582197292717</v>
      </c>
      <c r="Y74" s="4">
        <f t="shared" si="3"/>
        <v>0.1293505658587582</v>
      </c>
      <c r="Z74" s="4">
        <v>366</v>
      </c>
      <c r="AA74" s="4">
        <v>374</v>
      </c>
      <c r="AB74" s="4">
        <v>740</v>
      </c>
      <c r="AC74" s="4"/>
      <c r="AD74" s="4"/>
      <c r="AE74" s="4"/>
      <c r="AF74" s="4"/>
      <c r="AG74" s="4"/>
    </row>
    <row r="75" spans="1:33" x14ac:dyDescent="0.35">
      <c r="A75" t="s">
        <v>45</v>
      </c>
      <c r="F75" s="4"/>
      <c r="G75" s="12" t="s">
        <v>94</v>
      </c>
      <c r="H75" s="18">
        <v>2023</v>
      </c>
      <c r="I75" s="37"/>
      <c r="J75" s="4"/>
      <c r="K75" s="4"/>
      <c r="L75" s="4" t="s">
        <v>268</v>
      </c>
      <c r="M75" s="4" t="s">
        <v>279</v>
      </c>
      <c r="N75" s="4" t="s">
        <v>57</v>
      </c>
      <c r="O75" s="4" t="s">
        <v>230</v>
      </c>
      <c r="P75" s="4" t="s">
        <v>49</v>
      </c>
      <c r="Q75" s="4" t="s">
        <v>192</v>
      </c>
      <c r="S75" s="4"/>
      <c r="T75" s="4">
        <v>0.71</v>
      </c>
      <c r="U75" s="4">
        <v>0.47</v>
      </c>
      <c r="V75" s="4">
        <v>1.04</v>
      </c>
      <c r="W75" s="4">
        <f t="shared" si="4"/>
        <v>1.96</v>
      </c>
      <c r="X75" s="4">
        <f t="shared" si="5"/>
        <v>-0.35790093556237573</v>
      </c>
      <c r="Y75" s="4">
        <f t="shared" si="3"/>
        <v>0.20261308607941689</v>
      </c>
      <c r="Z75" s="4"/>
      <c r="AA75" s="4"/>
      <c r="AB75" s="4">
        <v>358</v>
      </c>
      <c r="AC75" s="4"/>
      <c r="AD75" s="4"/>
      <c r="AE75" s="4" t="s">
        <v>291</v>
      </c>
      <c r="AF75" s="4"/>
      <c r="AG75" s="4"/>
    </row>
    <row r="76" spans="1:33" x14ac:dyDescent="0.35">
      <c r="A76" t="s">
        <v>45</v>
      </c>
      <c r="F76" s="4"/>
      <c r="G76" s="12" t="s">
        <v>94</v>
      </c>
      <c r="H76" s="18">
        <v>2023</v>
      </c>
      <c r="I76" s="37"/>
      <c r="J76" s="4"/>
      <c r="K76" s="4"/>
      <c r="L76" s="4" t="s">
        <v>268</v>
      </c>
      <c r="M76" s="4" t="s">
        <v>279</v>
      </c>
      <c r="N76" s="4" t="s">
        <v>57</v>
      </c>
      <c r="O76" s="4" t="s">
        <v>56</v>
      </c>
      <c r="P76" s="4" t="s">
        <v>49</v>
      </c>
      <c r="Q76" s="4" t="s">
        <v>192</v>
      </c>
      <c r="S76" s="4"/>
      <c r="T76" s="4">
        <v>0.69</v>
      </c>
      <c r="U76" s="4">
        <v>0.48</v>
      </c>
      <c r="V76" s="4">
        <v>0.97</v>
      </c>
      <c r="W76" s="4">
        <f t="shared" si="4"/>
        <v>1.96</v>
      </c>
      <c r="X76" s="4">
        <f t="shared" si="5"/>
        <v>-0.38221419128245449</v>
      </c>
      <c r="Y76" s="4">
        <f t="shared" si="3"/>
        <v>0.17946682846823772</v>
      </c>
      <c r="Z76" s="4"/>
      <c r="AA76" s="4"/>
      <c r="AB76" s="4">
        <v>382</v>
      </c>
      <c r="AC76" s="4"/>
      <c r="AD76" s="4"/>
      <c r="AE76" s="4" t="s">
        <v>291</v>
      </c>
      <c r="AF76" s="4"/>
      <c r="AG76" s="4"/>
    </row>
    <row r="77" spans="1:33" x14ac:dyDescent="0.35">
      <c r="A77" t="s">
        <v>45</v>
      </c>
      <c r="F77" s="4"/>
      <c r="G77" s="12" t="s">
        <v>94</v>
      </c>
      <c r="H77" s="18">
        <v>2023</v>
      </c>
      <c r="I77" s="37"/>
      <c r="J77" s="4"/>
      <c r="K77" s="4"/>
      <c r="L77" s="4" t="s">
        <v>268</v>
      </c>
      <c r="M77" s="4" t="s">
        <v>279</v>
      </c>
      <c r="N77" s="4" t="s">
        <v>58</v>
      </c>
      <c r="O77" s="4" t="s">
        <v>63</v>
      </c>
      <c r="P77" s="4" t="s">
        <v>49</v>
      </c>
      <c r="Q77" s="4" t="s">
        <v>192</v>
      </c>
      <c r="S77" s="4"/>
      <c r="T77" s="4">
        <v>0.61</v>
      </c>
      <c r="U77" s="4">
        <v>0.44</v>
      </c>
      <c r="V77" s="4">
        <v>0.82</v>
      </c>
      <c r="W77" s="4">
        <f t="shared" si="4"/>
        <v>1.96</v>
      </c>
      <c r="X77" s="4">
        <f t="shared" si="5"/>
        <v>-0.50971574539683429</v>
      </c>
      <c r="Y77" s="4">
        <f t="shared" si="3"/>
        <v>0.15880857483316119</v>
      </c>
      <c r="Z77" s="4">
        <v>252</v>
      </c>
      <c r="AA77" s="4">
        <v>278</v>
      </c>
      <c r="AB77" s="4">
        <v>530</v>
      </c>
      <c r="AC77" s="4"/>
      <c r="AD77" s="4"/>
      <c r="AE77" s="4"/>
      <c r="AF77" s="4"/>
      <c r="AG77" s="4"/>
    </row>
    <row r="78" spans="1:33" x14ac:dyDescent="0.35">
      <c r="A78" t="s">
        <v>45</v>
      </c>
      <c r="F78" s="4"/>
      <c r="G78" s="12" t="s">
        <v>94</v>
      </c>
      <c r="H78" s="18">
        <v>2023</v>
      </c>
      <c r="I78" s="37"/>
      <c r="J78" s="4"/>
      <c r="K78" s="4"/>
      <c r="L78" s="4" t="s">
        <v>268</v>
      </c>
      <c r="M78" s="4" t="s">
        <v>279</v>
      </c>
      <c r="N78" s="4" t="s">
        <v>58</v>
      </c>
      <c r="O78" s="4" t="s">
        <v>59</v>
      </c>
      <c r="P78" s="4" t="s">
        <v>49</v>
      </c>
      <c r="Q78" s="4" t="s">
        <v>192</v>
      </c>
      <c r="S78" s="4"/>
      <c r="T78" s="4">
        <v>0.95</v>
      </c>
      <c r="U78" s="4">
        <v>0.57999999999999996</v>
      </c>
      <c r="V78" s="4">
        <v>1.56</v>
      </c>
      <c r="W78" s="4">
        <f t="shared" si="4"/>
        <v>1.96</v>
      </c>
      <c r="X78" s="4">
        <f t="shared" si="5"/>
        <v>-5.0020677090113208E-2</v>
      </c>
      <c r="Y78" s="4">
        <f t="shared" si="3"/>
        <v>0.25240127466916273</v>
      </c>
      <c r="Z78" s="4">
        <v>114</v>
      </c>
      <c r="AA78" s="4">
        <v>96</v>
      </c>
      <c r="AB78" s="4">
        <v>210</v>
      </c>
      <c r="AC78" s="4"/>
      <c r="AD78" s="4"/>
      <c r="AE78" s="4"/>
      <c r="AF78" s="4"/>
      <c r="AG78" s="4"/>
    </row>
    <row r="79" spans="1:33" x14ac:dyDescent="0.35">
      <c r="A79" t="s">
        <v>45</v>
      </c>
      <c r="F79" s="4"/>
      <c r="G79" s="12" t="s">
        <v>94</v>
      </c>
      <c r="H79" s="18">
        <v>2023</v>
      </c>
      <c r="I79" s="37"/>
      <c r="J79" s="4"/>
      <c r="K79" s="4"/>
      <c r="L79" s="4" t="s">
        <v>268</v>
      </c>
      <c r="M79" s="4" t="s">
        <v>279</v>
      </c>
      <c r="N79" s="4" t="s">
        <v>64</v>
      </c>
      <c r="O79" s="4">
        <v>0</v>
      </c>
      <c r="P79" s="4" t="s">
        <v>49</v>
      </c>
      <c r="Q79" s="4" t="s">
        <v>192</v>
      </c>
      <c r="S79" s="4"/>
      <c r="T79" s="4">
        <v>0.65</v>
      </c>
      <c r="U79" s="4">
        <v>0.47</v>
      </c>
      <c r="V79" s="4">
        <v>0.89</v>
      </c>
      <c r="W79" s="4">
        <f t="shared" si="4"/>
        <v>1.96</v>
      </c>
      <c r="X79" s="4">
        <f t="shared" si="5"/>
        <v>-0.43577820026699216</v>
      </c>
      <c r="Y79" s="4">
        <f t="shared" si="3"/>
        <v>0.16287978776073503</v>
      </c>
      <c r="Z79" s="4">
        <v>251</v>
      </c>
      <c r="AA79" s="4">
        <v>255</v>
      </c>
      <c r="AB79" s="4">
        <v>506</v>
      </c>
      <c r="AC79" s="4"/>
      <c r="AD79" s="4"/>
      <c r="AE79" s="4"/>
      <c r="AF79" s="4"/>
      <c r="AG79" s="4"/>
    </row>
    <row r="80" spans="1:33" x14ac:dyDescent="0.35">
      <c r="A80" t="s">
        <v>45</v>
      </c>
      <c r="F80" s="4"/>
      <c r="G80" s="12" t="s">
        <v>94</v>
      </c>
      <c r="H80" s="18">
        <v>2023</v>
      </c>
      <c r="I80" s="37"/>
      <c r="J80" s="4"/>
      <c r="K80" s="4"/>
      <c r="L80" s="4" t="s">
        <v>268</v>
      </c>
      <c r="M80" s="4" t="s">
        <v>279</v>
      </c>
      <c r="N80" s="4" t="s">
        <v>64</v>
      </c>
      <c r="O80" s="4">
        <v>1</v>
      </c>
      <c r="P80" s="4" t="s">
        <v>49</v>
      </c>
      <c r="Q80" s="4" t="s">
        <v>192</v>
      </c>
      <c r="S80" s="4"/>
      <c r="T80" s="4">
        <v>0.78</v>
      </c>
      <c r="U80" s="4">
        <v>0.49</v>
      </c>
      <c r="V80" s="4">
        <v>1.22</v>
      </c>
      <c r="W80" s="4">
        <f t="shared" si="4"/>
        <v>1.96</v>
      </c>
      <c r="X80" s="4">
        <f t="shared" si="5"/>
        <v>-0.25724951456614981</v>
      </c>
      <c r="Y80" s="4">
        <f t="shared" si="3"/>
        <v>0.23270427209760969</v>
      </c>
      <c r="Z80" s="4">
        <v>115</v>
      </c>
      <c r="AA80" s="4">
        <v>119</v>
      </c>
      <c r="AB80" s="4">
        <v>234</v>
      </c>
      <c r="AC80" s="4"/>
      <c r="AD80" s="4"/>
      <c r="AE80" s="4"/>
      <c r="AF80" s="4"/>
      <c r="AG80" s="4"/>
    </row>
    <row r="81" spans="1:33" x14ac:dyDescent="0.35">
      <c r="A81" t="s">
        <v>45</v>
      </c>
      <c r="F81" s="4"/>
      <c r="G81" s="12" t="s">
        <v>94</v>
      </c>
      <c r="H81" s="18">
        <v>2023</v>
      </c>
      <c r="I81" s="37"/>
      <c r="J81" s="4"/>
      <c r="K81" s="4"/>
      <c r="L81" s="4" t="s">
        <v>268</v>
      </c>
      <c r="M81" s="4" t="s">
        <v>279</v>
      </c>
      <c r="N81" s="4" t="s">
        <v>65</v>
      </c>
      <c r="O81" s="4" t="s">
        <v>66</v>
      </c>
      <c r="P81" s="4" t="s">
        <v>49</v>
      </c>
      <c r="Q81" s="4" t="s">
        <v>192</v>
      </c>
      <c r="S81" s="4"/>
      <c r="T81" s="4">
        <v>0.6</v>
      </c>
      <c r="U81" s="4">
        <v>0.4</v>
      </c>
      <c r="V81" s="4">
        <v>0.9</v>
      </c>
      <c r="W81" s="4">
        <f t="shared" si="4"/>
        <v>1.96</v>
      </c>
      <c r="X81" s="4">
        <f t="shared" si="5"/>
        <v>-0.51082562376599061</v>
      </c>
      <c r="Y81" s="4">
        <f t="shared" si="3"/>
        <v>0.2068699531164104</v>
      </c>
      <c r="Z81" s="4">
        <v>143</v>
      </c>
      <c r="AA81" s="4">
        <v>164</v>
      </c>
      <c r="AB81" s="4">
        <v>307</v>
      </c>
      <c r="AC81" s="4"/>
      <c r="AD81" s="4"/>
      <c r="AE81" s="4"/>
      <c r="AF81" s="4"/>
      <c r="AG81" s="4"/>
    </row>
    <row r="82" spans="1:33" x14ac:dyDescent="0.35">
      <c r="A82" t="s">
        <v>45</v>
      </c>
      <c r="F82" s="4"/>
      <c r="G82" s="12" t="s">
        <v>94</v>
      </c>
      <c r="H82" s="18">
        <v>2023</v>
      </c>
      <c r="I82" s="37"/>
      <c r="J82" s="4"/>
      <c r="K82" s="4"/>
      <c r="L82" s="4" t="s">
        <v>268</v>
      </c>
      <c r="M82" s="4" t="s">
        <v>279</v>
      </c>
      <c r="N82" s="4" t="s">
        <v>65</v>
      </c>
      <c r="O82" s="4" t="s">
        <v>67</v>
      </c>
      <c r="P82" s="4" t="s">
        <v>49</v>
      </c>
      <c r="Q82" s="4" t="s">
        <v>192</v>
      </c>
      <c r="S82" s="4"/>
      <c r="T82" s="4">
        <v>0.76</v>
      </c>
      <c r="U82" s="4">
        <v>0.54</v>
      </c>
      <c r="V82" s="4">
        <v>1.06</v>
      </c>
      <c r="W82" s="4">
        <f t="shared" si="4"/>
        <v>1.96</v>
      </c>
      <c r="X82" s="4">
        <f t="shared" si="5"/>
        <v>-0.27895861564992058</v>
      </c>
      <c r="Y82" s="4">
        <f t="shared" si="3"/>
        <v>0.17205485906831447</v>
      </c>
      <c r="Z82" s="4">
        <v>223</v>
      </c>
      <c r="AA82" s="4">
        <v>210</v>
      </c>
      <c r="AB82" s="4">
        <v>433</v>
      </c>
      <c r="AC82" s="4"/>
      <c r="AD82" s="4"/>
      <c r="AE82" s="4"/>
      <c r="AF82" s="4"/>
      <c r="AG82" s="4"/>
    </row>
    <row r="83" spans="1:33" x14ac:dyDescent="0.35">
      <c r="A83" t="s">
        <v>45</v>
      </c>
      <c r="F83" s="4"/>
      <c r="G83" s="12" t="s">
        <v>94</v>
      </c>
      <c r="H83" s="18">
        <v>2023</v>
      </c>
      <c r="I83" s="37"/>
      <c r="J83" s="4"/>
      <c r="K83" s="4"/>
      <c r="L83" s="4" t="s">
        <v>268</v>
      </c>
      <c r="M83" s="4" t="s">
        <v>279</v>
      </c>
      <c r="N83" s="4" t="s">
        <v>68</v>
      </c>
      <c r="O83" s="4" t="s">
        <v>69</v>
      </c>
      <c r="P83" s="4" t="s">
        <v>49</v>
      </c>
      <c r="Q83" s="4" t="s">
        <v>192</v>
      </c>
      <c r="S83" s="4"/>
      <c r="T83" s="4">
        <v>0.62</v>
      </c>
      <c r="U83" s="4">
        <v>0.41</v>
      </c>
      <c r="V83" s="4">
        <v>0.93</v>
      </c>
      <c r="W83" s="4">
        <f t="shared" si="4"/>
        <v>1.96</v>
      </c>
      <c r="X83" s="4">
        <f t="shared" si="5"/>
        <v>-0.48208440605930952</v>
      </c>
      <c r="Y83" s="4">
        <f t="shared" si="3"/>
        <v>0.20893556797167046</v>
      </c>
      <c r="Z83" s="4">
        <v>142</v>
      </c>
      <c r="AA83" s="4">
        <v>163</v>
      </c>
      <c r="AB83" s="4">
        <v>305</v>
      </c>
      <c r="AC83" s="4"/>
      <c r="AD83" s="4"/>
      <c r="AE83" s="4"/>
      <c r="AF83" s="4"/>
      <c r="AG83" s="4"/>
    </row>
    <row r="84" spans="1:33" x14ac:dyDescent="0.35">
      <c r="A84" t="s">
        <v>45</v>
      </c>
      <c r="F84" s="4"/>
      <c r="G84" s="12" t="s">
        <v>94</v>
      </c>
      <c r="H84" s="18">
        <v>2023</v>
      </c>
      <c r="I84" s="37"/>
      <c r="J84" s="4"/>
      <c r="K84" s="4"/>
      <c r="L84" s="4" t="s">
        <v>268</v>
      </c>
      <c r="M84" s="4" t="s">
        <v>279</v>
      </c>
      <c r="N84" s="4" t="s">
        <v>68</v>
      </c>
      <c r="O84" s="4" t="s">
        <v>70</v>
      </c>
      <c r="P84" s="4" t="s">
        <v>49</v>
      </c>
      <c r="Q84" s="4" t="s">
        <v>192</v>
      </c>
      <c r="S84" s="4"/>
      <c r="T84" s="4">
        <v>0.75</v>
      </c>
      <c r="U84" s="4">
        <v>0.49</v>
      </c>
      <c r="V84" s="4">
        <v>1.1399999999999999</v>
      </c>
      <c r="W84" s="4">
        <f t="shared" si="4"/>
        <v>1.96</v>
      </c>
      <c r="X84" s="4">
        <f t="shared" si="5"/>
        <v>-0.29116081273553041</v>
      </c>
      <c r="Y84" s="4">
        <f t="shared" si="3"/>
        <v>0.21540258935812978</v>
      </c>
      <c r="Z84" s="4">
        <v>141</v>
      </c>
      <c r="AA84" s="4">
        <v>140</v>
      </c>
      <c r="AB84" s="4">
        <v>281</v>
      </c>
      <c r="AC84" s="4"/>
      <c r="AD84" s="4"/>
      <c r="AE84" s="4"/>
      <c r="AF84" s="4"/>
      <c r="AG84" s="4"/>
    </row>
    <row r="85" spans="1:33" x14ac:dyDescent="0.35">
      <c r="A85" t="s">
        <v>45</v>
      </c>
      <c r="F85" s="4"/>
      <c r="G85" s="12" t="s">
        <v>94</v>
      </c>
      <c r="H85" s="18">
        <v>2023</v>
      </c>
      <c r="I85" s="37"/>
      <c r="J85" s="4"/>
      <c r="K85" s="4"/>
      <c r="L85" s="4" t="s">
        <v>268</v>
      </c>
      <c r="M85" s="4" t="s">
        <v>279</v>
      </c>
      <c r="N85" s="4" t="s">
        <v>68</v>
      </c>
      <c r="O85" s="4" t="s">
        <v>71</v>
      </c>
      <c r="P85" s="4" t="s">
        <v>49</v>
      </c>
      <c r="Q85" s="4" t="s">
        <v>192</v>
      </c>
      <c r="S85" s="4"/>
      <c r="T85" s="4">
        <v>0.69</v>
      </c>
      <c r="U85" s="4">
        <v>0.27</v>
      </c>
      <c r="V85" s="4">
        <v>1.62</v>
      </c>
      <c r="W85" s="4">
        <f t="shared" si="4"/>
        <v>1.96</v>
      </c>
      <c r="X85" s="4">
        <f t="shared" si="5"/>
        <v>-0.41345358536973476</v>
      </c>
      <c r="Y85" s="4">
        <f t="shared" si="3"/>
        <v>0.45708149725205482</v>
      </c>
      <c r="Z85" s="4">
        <v>43</v>
      </c>
      <c r="AA85" s="4">
        <v>43</v>
      </c>
      <c r="AB85" s="4">
        <v>86</v>
      </c>
      <c r="AC85" s="4"/>
      <c r="AD85" s="4"/>
      <c r="AE85" s="4"/>
      <c r="AF85" s="4"/>
      <c r="AG85" s="4"/>
    </row>
    <row r="86" spans="1:33" x14ac:dyDescent="0.35">
      <c r="A86" t="s">
        <v>45</v>
      </c>
      <c r="F86" s="4"/>
      <c r="G86" s="12" t="s">
        <v>94</v>
      </c>
      <c r="H86" s="18">
        <v>2023</v>
      </c>
      <c r="I86" s="37"/>
      <c r="J86" s="4"/>
      <c r="K86" s="4"/>
      <c r="L86" s="4" t="s">
        <v>268</v>
      </c>
      <c r="M86" s="4" t="s">
        <v>279</v>
      </c>
      <c r="N86" s="4" t="s">
        <v>68</v>
      </c>
      <c r="O86" s="4" t="s">
        <v>72</v>
      </c>
      <c r="P86" s="4" t="s">
        <v>49</v>
      </c>
      <c r="Q86" s="4" t="s">
        <v>192</v>
      </c>
      <c r="S86" s="4"/>
      <c r="T86" s="4">
        <v>0.71</v>
      </c>
      <c r="U86" s="4">
        <v>0.33</v>
      </c>
      <c r="V86" s="4">
        <v>1.53</v>
      </c>
      <c r="W86" s="4">
        <f t="shared" si="4"/>
        <v>1.96</v>
      </c>
      <c r="X86" s="4">
        <f t="shared" si="5"/>
        <v>-0.34169744455863349</v>
      </c>
      <c r="Y86" s="4">
        <f t="shared" si="3"/>
        <v>0.39130876528723352</v>
      </c>
      <c r="Z86" s="4">
        <v>40</v>
      </c>
      <c r="AA86" s="4">
        <v>28</v>
      </c>
      <c r="AB86" s="4">
        <v>68</v>
      </c>
      <c r="AC86" s="4"/>
      <c r="AD86" s="4"/>
      <c r="AE86" s="4"/>
      <c r="AF86" s="4"/>
      <c r="AG86" s="4"/>
    </row>
    <row r="87" spans="1:33" x14ac:dyDescent="0.35">
      <c r="A87" t="s">
        <v>45</v>
      </c>
      <c r="F87" s="4"/>
      <c r="G87" s="12" t="s">
        <v>94</v>
      </c>
      <c r="H87" s="18">
        <v>2023</v>
      </c>
      <c r="I87" s="37"/>
      <c r="J87" s="4"/>
      <c r="K87" s="4"/>
      <c r="L87" s="4" t="s">
        <v>268</v>
      </c>
      <c r="M87" s="4" t="s">
        <v>279</v>
      </c>
      <c r="N87" s="4" t="s">
        <v>73</v>
      </c>
      <c r="O87" s="4" t="s">
        <v>74</v>
      </c>
      <c r="P87" s="4" t="s">
        <v>49</v>
      </c>
      <c r="Q87" s="4" t="s">
        <v>192</v>
      </c>
      <c r="S87" s="4"/>
      <c r="T87" s="4">
        <v>0.48</v>
      </c>
      <c r="U87" s="4">
        <v>0.28000000000000003</v>
      </c>
      <c r="V87" s="4">
        <v>0.8</v>
      </c>
      <c r="W87" s="4">
        <f t="shared" si="4"/>
        <v>1.96</v>
      </c>
      <c r="X87" s="4">
        <f t="shared" si="5"/>
        <v>-0.74805461356354852</v>
      </c>
      <c r="Y87" s="4">
        <f t="shared" si="3"/>
        <v>0.26781176645374427</v>
      </c>
      <c r="Z87" s="4">
        <v>95</v>
      </c>
      <c r="AA87" s="4">
        <v>95</v>
      </c>
      <c r="AB87" s="4">
        <v>190</v>
      </c>
      <c r="AC87" s="4"/>
      <c r="AD87" s="4"/>
      <c r="AE87" s="4"/>
      <c r="AF87" s="4"/>
      <c r="AG87" s="4"/>
    </row>
    <row r="88" spans="1:33" x14ac:dyDescent="0.35">
      <c r="A88" t="s">
        <v>45</v>
      </c>
      <c r="F88" s="4"/>
      <c r="G88" s="12" t="s">
        <v>94</v>
      </c>
      <c r="H88" s="18">
        <v>2023</v>
      </c>
      <c r="I88" s="37"/>
      <c r="J88" s="4"/>
      <c r="K88" s="4"/>
      <c r="L88" s="4" t="s">
        <v>268</v>
      </c>
      <c r="M88" s="4" t="s">
        <v>279</v>
      </c>
      <c r="N88" s="4" t="s">
        <v>73</v>
      </c>
      <c r="O88" s="4" t="s">
        <v>75</v>
      </c>
      <c r="P88" s="4" t="s">
        <v>49</v>
      </c>
      <c r="Q88" s="4" t="s">
        <v>192</v>
      </c>
      <c r="S88" s="4"/>
      <c r="T88" s="4">
        <v>0.79</v>
      </c>
      <c r="U88" s="4">
        <v>0.56999999999999995</v>
      </c>
      <c r="V88" s="4">
        <v>1.1000000000000001</v>
      </c>
      <c r="W88" s="4">
        <f t="shared" si="4"/>
        <v>1.96</v>
      </c>
      <c r="X88" s="4">
        <f t="shared" si="5"/>
        <v>-0.23340436917460819</v>
      </c>
      <c r="Y88" s="4">
        <f t="shared" si="3"/>
        <v>0.16771150458108836</v>
      </c>
      <c r="Z88" s="4">
        <v>220</v>
      </c>
      <c r="AA88" s="4">
        <v>223</v>
      </c>
      <c r="AB88" s="4">
        <v>443</v>
      </c>
      <c r="AC88" s="4"/>
      <c r="AD88" s="4"/>
      <c r="AE88" s="4"/>
      <c r="AF88" s="4"/>
      <c r="AG88" s="4"/>
    </row>
    <row r="89" spans="1:33" x14ac:dyDescent="0.35">
      <c r="A89" t="s">
        <v>45</v>
      </c>
      <c r="F89" s="4"/>
      <c r="G89" s="12" t="s">
        <v>94</v>
      </c>
      <c r="H89" s="18">
        <v>2023</v>
      </c>
      <c r="I89" s="37"/>
      <c r="J89" s="4"/>
      <c r="K89" s="4"/>
      <c r="L89" s="4" t="s">
        <v>268</v>
      </c>
      <c r="M89" s="4" t="s">
        <v>279</v>
      </c>
      <c r="N89" s="4" t="s">
        <v>73</v>
      </c>
      <c r="O89" s="4" t="s">
        <v>76</v>
      </c>
      <c r="P89" s="4" t="s">
        <v>49</v>
      </c>
      <c r="Q89" s="4" t="s">
        <v>192</v>
      </c>
      <c r="S89" s="4"/>
      <c r="T89" s="4">
        <v>0.76</v>
      </c>
      <c r="U89" s="4">
        <v>0.35</v>
      </c>
      <c r="V89" s="4">
        <v>1.58</v>
      </c>
      <c r="W89" s="4">
        <f t="shared" si="4"/>
        <v>1.96</v>
      </c>
      <c r="X89" s="4">
        <f t="shared" si="5"/>
        <v>-0.29619863872990115</v>
      </c>
      <c r="Y89" s="4">
        <f t="shared" si="3"/>
        <v>0.38450177845345751</v>
      </c>
      <c r="Z89" s="4">
        <v>51</v>
      </c>
      <c r="AA89" s="4">
        <v>56</v>
      </c>
      <c r="AB89" s="4">
        <v>107</v>
      </c>
      <c r="AC89" s="4"/>
      <c r="AD89" s="4"/>
      <c r="AE89" s="4"/>
      <c r="AF89" s="4"/>
      <c r="AG89" s="4"/>
    </row>
    <row r="90" spans="1:33" x14ac:dyDescent="0.35">
      <c r="A90" t="s">
        <v>45</v>
      </c>
      <c r="F90" s="4"/>
      <c r="G90" s="12" t="s">
        <v>94</v>
      </c>
      <c r="H90" s="18">
        <v>2023</v>
      </c>
      <c r="I90" s="37"/>
      <c r="J90" s="4"/>
      <c r="K90" s="4"/>
      <c r="L90" s="4" t="s">
        <v>268</v>
      </c>
      <c r="M90" s="4" t="s">
        <v>279</v>
      </c>
      <c r="N90" s="4" t="s">
        <v>79</v>
      </c>
      <c r="O90" s="4" t="s">
        <v>81</v>
      </c>
      <c r="P90" s="4" t="s">
        <v>49</v>
      </c>
      <c r="Q90" s="4" t="s">
        <v>192</v>
      </c>
      <c r="S90" s="4"/>
      <c r="T90" s="4">
        <v>0.71</v>
      </c>
      <c r="U90" s="4">
        <v>0.49</v>
      </c>
      <c r="V90" s="4">
        <v>1.03</v>
      </c>
      <c r="W90" s="4">
        <f t="shared" si="4"/>
        <v>1.96</v>
      </c>
      <c r="X90" s="4">
        <f t="shared" si="5"/>
        <v>-0.3418955428179602</v>
      </c>
      <c r="Y90" s="4">
        <f t="shared" si="3"/>
        <v>0.18951752298954316</v>
      </c>
      <c r="Z90" s="4">
        <v>169</v>
      </c>
      <c r="AA90" s="4">
        <v>191</v>
      </c>
      <c r="AB90" s="4">
        <v>360</v>
      </c>
      <c r="AC90" s="4"/>
      <c r="AD90" s="4"/>
      <c r="AE90" s="4"/>
      <c r="AF90" s="4"/>
      <c r="AG90" s="4"/>
    </row>
    <row r="91" spans="1:33" x14ac:dyDescent="0.35">
      <c r="A91" t="s">
        <v>45</v>
      </c>
      <c r="F91" s="4"/>
      <c r="G91" s="12" t="s">
        <v>94</v>
      </c>
      <c r="H91" s="18">
        <v>2023</v>
      </c>
      <c r="I91" s="37"/>
      <c r="J91" s="4"/>
      <c r="K91" s="4"/>
      <c r="L91" s="4" t="s">
        <v>268</v>
      </c>
      <c r="M91" s="4" t="s">
        <v>279</v>
      </c>
      <c r="N91" s="4" t="s">
        <v>79</v>
      </c>
      <c r="O91" s="4" t="s">
        <v>80</v>
      </c>
      <c r="P91" s="4" t="s">
        <v>49</v>
      </c>
      <c r="Q91" s="4" t="s">
        <v>192</v>
      </c>
      <c r="S91" s="4"/>
      <c r="T91" s="4">
        <v>0.69</v>
      </c>
      <c r="U91" s="4">
        <v>0.48</v>
      </c>
      <c r="V91" s="4">
        <v>0.99</v>
      </c>
      <c r="W91" s="4">
        <f t="shared" si="4"/>
        <v>1.96</v>
      </c>
      <c r="X91" s="4">
        <f t="shared" si="5"/>
        <v>-0.37200975546685094</v>
      </c>
      <c r="Y91" s="4">
        <f t="shared" si="3"/>
        <v>0.18467317327211707</v>
      </c>
      <c r="Z91" s="4">
        <v>196</v>
      </c>
      <c r="AA91" s="4">
        <v>179</v>
      </c>
      <c r="AB91" s="4">
        <v>375</v>
      </c>
      <c r="AC91" s="4"/>
      <c r="AD91" s="4"/>
      <c r="AE91" s="4"/>
      <c r="AF91" s="4"/>
      <c r="AG91" s="4"/>
    </row>
    <row r="92" spans="1:33" x14ac:dyDescent="0.35">
      <c r="A92" t="s">
        <v>45</v>
      </c>
      <c r="F92" s="4"/>
      <c r="G92" s="12" t="s">
        <v>94</v>
      </c>
      <c r="H92" s="18">
        <v>2023</v>
      </c>
      <c r="I92" s="37"/>
      <c r="J92" s="4"/>
      <c r="K92" s="4"/>
      <c r="L92" s="4" t="s">
        <v>268</v>
      </c>
      <c r="M92" s="4" t="s">
        <v>279</v>
      </c>
      <c r="N92" s="4" t="s">
        <v>77</v>
      </c>
      <c r="O92" s="4" t="s">
        <v>83</v>
      </c>
      <c r="P92" s="4" t="s">
        <v>49</v>
      </c>
      <c r="Q92" s="4" t="s">
        <v>192</v>
      </c>
      <c r="S92" s="4"/>
      <c r="T92" s="4">
        <v>0.76</v>
      </c>
      <c r="U92" s="4">
        <v>0.43</v>
      </c>
      <c r="V92" s="4">
        <v>1.34</v>
      </c>
      <c r="W92" s="4">
        <f t="shared" si="4"/>
        <v>1.96</v>
      </c>
      <c r="X92" s="4">
        <f t="shared" si="5"/>
        <v>-0.27565022816585449</v>
      </c>
      <c r="Y92" s="4">
        <f t="shared" si="3"/>
        <v>0.28995910312687473</v>
      </c>
      <c r="Z92" s="4">
        <v>104</v>
      </c>
      <c r="AA92" s="4">
        <v>110</v>
      </c>
      <c r="AB92" s="4">
        <v>214</v>
      </c>
      <c r="AC92" s="4"/>
      <c r="AD92" s="4"/>
      <c r="AE92" s="4"/>
      <c r="AF92" s="4"/>
      <c r="AG92" s="4"/>
    </row>
    <row r="93" spans="1:33" x14ac:dyDescent="0.35">
      <c r="A93" t="s">
        <v>45</v>
      </c>
      <c r="F93" s="4"/>
      <c r="G93" s="12" t="s">
        <v>94</v>
      </c>
      <c r="H93" s="18">
        <v>2023</v>
      </c>
      <c r="I93" s="37"/>
      <c r="J93" s="4"/>
      <c r="K93" s="4"/>
      <c r="L93" s="4" t="s">
        <v>268</v>
      </c>
      <c r="M93" s="4" t="s">
        <v>279</v>
      </c>
      <c r="N93" s="4" t="s">
        <v>77</v>
      </c>
      <c r="O93" s="4" t="s">
        <v>84</v>
      </c>
      <c r="P93" s="4" t="s">
        <v>49</v>
      </c>
      <c r="Q93" s="4" t="s">
        <v>192</v>
      </c>
      <c r="S93" s="4"/>
      <c r="T93" s="4">
        <v>0.56999999999999995</v>
      </c>
      <c r="U93" s="4">
        <v>0.39</v>
      </c>
      <c r="V93" s="4">
        <v>0.83</v>
      </c>
      <c r="W93" s="4">
        <f t="shared" si="4"/>
        <v>1.96</v>
      </c>
      <c r="X93" s="4">
        <f t="shared" si="5"/>
        <v>-0.56396905902496919</v>
      </c>
      <c r="Y93" s="4">
        <f t="shared" si="3"/>
        <v>0.19267320450687539</v>
      </c>
      <c r="Z93" s="4">
        <v>173</v>
      </c>
      <c r="AA93" s="4">
        <v>165</v>
      </c>
      <c r="AB93" s="4">
        <v>338</v>
      </c>
      <c r="AC93" s="4"/>
      <c r="AD93" s="4"/>
      <c r="AE93" s="4"/>
      <c r="AF93" s="4"/>
      <c r="AG93" s="4"/>
    </row>
    <row r="94" spans="1:33" x14ac:dyDescent="0.35">
      <c r="A94" t="s">
        <v>45</v>
      </c>
      <c r="F94" s="4"/>
      <c r="G94" s="12" t="s">
        <v>94</v>
      </c>
      <c r="H94" s="18">
        <v>2023</v>
      </c>
      <c r="I94" s="37"/>
      <c r="J94" s="4"/>
      <c r="K94" s="4"/>
      <c r="L94" s="4" t="s">
        <v>268</v>
      </c>
      <c r="M94" s="4" t="s">
        <v>279</v>
      </c>
      <c r="N94" s="4" t="s">
        <v>77</v>
      </c>
      <c r="O94" s="4" t="s">
        <v>85</v>
      </c>
      <c r="P94" s="4" t="s">
        <v>49</v>
      </c>
      <c r="Q94" s="4" t="s">
        <v>192</v>
      </c>
      <c r="S94" s="4"/>
      <c r="T94" s="4">
        <v>0.83</v>
      </c>
      <c r="U94" s="4">
        <v>0.52</v>
      </c>
      <c r="V94" s="4">
        <v>1.32</v>
      </c>
      <c r="W94" s="4">
        <f t="shared" si="4"/>
        <v>1.96</v>
      </c>
      <c r="X94" s="4">
        <f t="shared" si="5"/>
        <v>-0.18814736540419219</v>
      </c>
      <c r="Y94" s="4">
        <f t="shared" si="3"/>
        <v>0.23764239898085293</v>
      </c>
      <c r="Z94" s="4">
        <v>88</v>
      </c>
      <c r="AA94" s="4">
        <v>98</v>
      </c>
      <c r="AB94" s="4">
        <v>186</v>
      </c>
      <c r="AC94" s="4"/>
      <c r="AD94" s="4"/>
      <c r="AE94" s="4"/>
      <c r="AF94" s="4"/>
      <c r="AG94" s="4"/>
    </row>
    <row r="95" spans="1:33" x14ac:dyDescent="0.35">
      <c r="A95" t="s">
        <v>45</v>
      </c>
      <c r="F95" s="4"/>
      <c r="G95" s="12" t="s">
        <v>94</v>
      </c>
      <c r="H95" s="18">
        <v>2023</v>
      </c>
      <c r="I95" s="37"/>
      <c r="J95" s="4"/>
      <c r="K95" s="4"/>
      <c r="L95" s="4" t="s">
        <v>268</v>
      </c>
      <c r="M95" s="4" t="s">
        <v>279</v>
      </c>
      <c r="N95" s="4" t="s">
        <v>285</v>
      </c>
      <c r="O95" s="4" t="s">
        <v>100</v>
      </c>
      <c r="P95" s="4" t="s">
        <v>49</v>
      </c>
      <c r="Q95" s="4" t="s">
        <v>192</v>
      </c>
      <c r="S95" s="4"/>
      <c r="T95" s="4">
        <v>0.61</v>
      </c>
      <c r="U95" s="4">
        <v>0.39</v>
      </c>
      <c r="V95" s="4">
        <v>0.94</v>
      </c>
      <c r="W95" s="4">
        <f t="shared" si="4"/>
        <v>1.96</v>
      </c>
      <c r="X95" s="4">
        <f t="shared" si="5"/>
        <v>-0.50174197178826629</v>
      </c>
      <c r="Y95" s="4">
        <f t="shared" si="3"/>
        <v>0.22442171840315242</v>
      </c>
      <c r="Z95" s="4">
        <v>141</v>
      </c>
      <c r="AA95" s="4">
        <v>132</v>
      </c>
      <c r="AB95" s="4">
        <v>273</v>
      </c>
      <c r="AC95" s="4"/>
      <c r="AD95" s="4"/>
      <c r="AE95" s="4"/>
      <c r="AF95" s="4"/>
      <c r="AG95" s="4"/>
    </row>
    <row r="96" spans="1:33" x14ac:dyDescent="0.35">
      <c r="A96" t="s">
        <v>45</v>
      </c>
      <c r="F96" s="4"/>
      <c r="G96" s="12" t="s">
        <v>94</v>
      </c>
      <c r="H96" s="18">
        <v>2023</v>
      </c>
      <c r="I96" s="37"/>
      <c r="J96" s="4"/>
      <c r="K96" s="4"/>
      <c r="L96" s="4" t="s">
        <v>268</v>
      </c>
      <c r="M96" s="4" t="s">
        <v>279</v>
      </c>
      <c r="N96" s="4" t="s">
        <v>285</v>
      </c>
      <c r="O96" s="4" t="s">
        <v>86</v>
      </c>
      <c r="P96" s="4" t="s">
        <v>49</v>
      </c>
      <c r="Q96" s="4" t="s">
        <v>192</v>
      </c>
      <c r="S96" s="4"/>
      <c r="T96" s="4">
        <v>0.69</v>
      </c>
      <c r="U96" s="4">
        <v>0.33</v>
      </c>
      <c r="V96" s="4">
        <v>1.38</v>
      </c>
      <c r="W96" s="4">
        <f t="shared" si="4"/>
        <v>1.96</v>
      </c>
      <c r="X96" s="4">
        <f t="shared" si="5"/>
        <v>-0.39328956267624893</v>
      </c>
      <c r="Y96" s="4">
        <f t="shared" si="3"/>
        <v>0.36498625604355217</v>
      </c>
      <c r="Z96" s="4">
        <v>34</v>
      </c>
      <c r="AA96" s="4">
        <v>40</v>
      </c>
      <c r="AB96" s="4">
        <v>74</v>
      </c>
      <c r="AC96" s="4"/>
      <c r="AD96" s="4"/>
      <c r="AE96" s="4"/>
      <c r="AF96" s="4"/>
      <c r="AG96" s="4"/>
    </row>
    <row r="97" spans="1:33" x14ac:dyDescent="0.35">
      <c r="A97" t="s">
        <v>45</v>
      </c>
      <c r="F97" s="4"/>
      <c r="G97" s="12" t="s">
        <v>94</v>
      </c>
      <c r="H97" s="18">
        <v>2023</v>
      </c>
      <c r="I97" s="37"/>
      <c r="J97" s="4"/>
      <c r="K97" s="4"/>
      <c r="L97" s="4" t="s">
        <v>268</v>
      </c>
      <c r="M97" s="4" t="s">
        <v>279</v>
      </c>
      <c r="N97" s="4" t="s">
        <v>101</v>
      </c>
      <c r="O97" s="4" t="s">
        <v>274</v>
      </c>
      <c r="P97" s="4" t="s">
        <v>49</v>
      </c>
      <c r="Q97" s="4" t="s">
        <v>192</v>
      </c>
      <c r="S97" s="4"/>
      <c r="T97" s="4">
        <v>0.76</v>
      </c>
      <c r="U97" s="4">
        <v>0.49</v>
      </c>
      <c r="V97" s="4">
        <v>1.17</v>
      </c>
      <c r="W97" s="4">
        <f t="shared" si="4"/>
        <v>1.96</v>
      </c>
      <c r="X97" s="4">
        <f t="shared" si="5"/>
        <v>-0.27817306953390003</v>
      </c>
      <c r="Y97" s="4">
        <f t="shared" si="3"/>
        <v>0.22202898895079834</v>
      </c>
      <c r="Z97" s="4">
        <v>122</v>
      </c>
      <c r="AA97" s="4">
        <v>125</v>
      </c>
      <c r="AB97" s="4">
        <v>247</v>
      </c>
      <c r="AC97" s="4"/>
      <c r="AD97" s="4"/>
      <c r="AE97" s="4"/>
      <c r="AF97" s="4"/>
      <c r="AG97" s="4"/>
    </row>
    <row r="98" spans="1:33" x14ac:dyDescent="0.35">
      <c r="A98" t="s">
        <v>45</v>
      </c>
      <c r="F98" s="4"/>
      <c r="G98" s="12" t="s">
        <v>94</v>
      </c>
      <c r="H98" s="18">
        <v>2023</v>
      </c>
      <c r="I98" s="37"/>
      <c r="J98" s="4"/>
      <c r="K98" s="4"/>
      <c r="L98" s="4" t="s">
        <v>268</v>
      </c>
      <c r="M98" s="4" t="s">
        <v>279</v>
      </c>
      <c r="N98" s="4" t="s">
        <v>101</v>
      </c>
      <c r="O98" s="4" t="s">
        <v>282</v>
      </c>
      <c r="P98" s="4" t="s">
        <v>49</v>
      </c>
      <c r="Q98" s="4" t="s">
        <v>192</v>
      </c>
      <c r="S98" s="4"/>
      <c r="T98" s="4">
        <v>0.7</v>
      </c>
      <c r="U98" s="4">
        <v>0.46</v>
      </c>
      <c r="V98" s="4">
        <v>1.05</v>
      </c>
      <c r="W98" s="4">
        <f t="shared" si="4"/>
        <v>1.96</v>
      </c>
      <c r="X98" s="4">
        <f t="shared" si="5"/>
        <v>-0.36386931266478212</v>
      </c>
      <c r="Y98" s="4">
        <f t="shared" si="3"/>
        <v>0.2105405494052113</v>
      </c>
      <c r="Z98" s="4">
        <v>135</v>
      </c>
      <c r="AA98" s="4">
        <v>142</v>
      </c>
      <c r="AB98" s="4">
        <v>277</v>
      </c>
      <c r="AC98" s="4"/>
      <c r="AD98" s="4"/>
      <c r="AE98" s="4"/>
      <c r="AF98" s="4"/>
      <c r="AG98" s="4"/>
    </row>
    <row r="99" spans="1:33" x14ac:dyDescent="0.35">
      <c r="A99" t="s">
        <v>45</v>
      </c>
      <c r="F99" s="4"/>
      <c r="G99" s="12" t="s">
        <v>94</v>
      </c>
      <c r="H99" s="18">
        <v>2023</v>
      </c>
      <c r="I99" s="37"/>
      <c r="J99" s="4"/>
      <c r="K99" s="4"/>
      <c r="L99" s="4" t="s">
        <v>268</v>
      </c>
      <c r="M99" s="4" t="s">
        <v>279</v>
      </c>
      <c r="N99" s="4" t="s">
        <v>101</v>
      </c>
      <c r="O99" s="4" t="s">
        <v>277</v>
      </c>
      <c r="P99" s="4" t="s">
        <v>49</v>
      </c>
      <c r="Q99" s="4" t="s">
        <v>192</v>
      </c>
      <c r="S99" s="4"/>
      <c r="T99" s="4">
        <v>0.6</v>
      </c>
      <c r="U99" s="4">
        <v>0.35</v>
      </c>
      <c r="V99" s="4">
        <v>1.01</v>
      </c>
      <c r="W99" s="4">
        <f t="shared" si="4"/>
        <v>1.96</v>
      </c>
      <c r="X99" s="4">
        <f t="shared" si="5"/>
        <v>-0.51993589682275487</v>
      </c>
      <c r="Y99" s="4">
        <f t="shared" si="3"/>
        <v>0.27035011616118521</v>
      </c>
      <c r="Z99" s="4">
        <v>109</v>
      </c>
      <c r="AA99" s="4">
        <v>107</v>
      </c>
      <c r="AB99" s="4">
        <v>216</v>
      </c>
      <c r="AC99" s="4"/>
      <c r="AD99" s="4"/>
      <c r="AE99" s="4"/>
      <c r="AF99" s="4"/>
      <c r="AG99" s="4"/>
    </row>
    <row r="100" spans="1:33" x14ac:dyDescent="0.35">
      <c r="A100" t="s">
        <v>45</v>
      </c>
      <c r="F100" s="4"/>
      <c r="G100" s="12" t="s">
        <v>94</v>
      </c>
      <c r="H100" s="18">
        <v>2023</v>
      </c>
      <c r="I100" s="37"/>
      <c r="J100" s="4"/>
      <c r="K100" s="4"/>
      <c r="L100" s="4" t="s">
        <v>268</v>
      </c>
      <c r="M100" s="4" t="s">
        <v>279</v>
      </c>
      <c r="N100" s="4" t="s">
        <v>109</v>
      </c>
      <c r="O100" s="4" t="s">
        <v>111</v>
      </c>
      <c r="P100" s="4" t="s">
        <v>49</v>
      </c>
      <c r="Q100" s="4" t="s">
        <v>192</v>
      </c>
      <c r="S100" s="4"/>
      <c r="T100" s="4">
        <v>0.59</v>
      </c>
      <c r="U100" s="4">
        <v>0.35</v>
      </c>
      <c r="V100" s="4">
        <v>1</v>
      </c>
      <c r="W100" s="4">
        <f t="shared" si="4"/>
        <v>1.96</v>
      </c>
      <c r="X100" s="4">
        <f t="shared" si="5"/>
        <v>-0.52491106224933892</v>
      </c>
      <c r="Y100" s="4">
        <f t="shared" si="3"/>
        <v>0.26781176645374433</v>
      </c>
      <c r="Z100" s="4">
        <v>100</v>
      </c>
      <c r="AA100" s="4">
        <v>96</v>
      </c>
      <c r="AB100" s="4">
        <v>196</v>
      </c>
      <c r="AC100" s="4"/>
      <c r="AD100" s="4"/>
      <c r="AE100" s="4"/>
      <c r="AF100" s="4"/>
      <c r="AG100" s="4"/>
    </row>
    <row r="101" spans="1:33" x14ac:dyDescent="0.35">
      <c r="A101" t="s">
        <v>45</v>
      </c>
      <c r="F101" s="4"/>
      <c r="G101" s="12" t="s">
        <v>94</v>
      </c>
      <c r="H101" s="18">
        <v>2023</v>
      </c>
      <c r="I101" s="37"/>
      <c r="J101" s="4"/>
      <c r="K101" s="4"/>
      <c r="L101" s="4" t="s">
        <v>268</v>
      </c>
      <c r="M101" s="4" t="s">
        <v>279</v>
      </c>
      <c r="N101" s="4" t="s">
        <v>109</v>
      </c>
      <c r="O101" s="4" t="s">
        <v>110</v>
      </c>
      <c r="P101" s="4" t="s">
        <v>49</v>
      </c>
      <c r="Q101" s="4" t="s">
        <v>192</v>
      </c>
      <c r="S101" s="4"/>
      <c r="T101" s="4">
        <v>0.73</v>
      </c>
      <c r="U101" s="4">
        <v>0.54</v>
      </c>
      <c r="V101" s="4">
        <v>0.98</v>
      </c>
      <c r="W101" s="4">
        <f t="shared" si="4"/>
        <v>1.96</v>
      </c>
      <c r="X101" s="4">
        <f t="shared" si="5"/>
        <v>-0.31819442337066822</v>
      </c>
      <c r="Y101" s="4">
        <f t="shared" si="3"/>
        <v>0.15203658982303506</v>
      </c>
      <c r="Z101" s="4">
        <v>266</v>
      </c>
      <c r="AA101" s="4">
        <v>278</v>
      </c>
      <c r="AB101" s="4">
        <v>544</v>
      </c>
      <c r="AC101" s="4"/>
      <c r="AD101" s="4"/>
      <c r="AE101" s="4"/>
      <c r="AF101" s="4"/>
      <c r="AG101" s="4"/>
    </row>
    <row r="102" spans="1:33" x14ac:dyDescent="0.35">
      <c r="A102" t="s">
        <v>45</v>
      </c>
      <c r="F102" s="4"/>
      <c r="G102" s="12" t="s">
        <v>94</v>
      </c>
      <c r="H102" s="18">
        <v>2023</v>
      </c>
      <c r="I102" s="37"/>
      <c r="J102" s="4"/>
      <c r="K102" s="4"/>
      <c r="L102" s="4" t="s">
        <v>268</v>
      </c>
      <c r="M102" s="4" t="s">
        <v>279</v>
      </c>
      <c r="N102" s="4" t="s">
        <v>292</v>
      </c>
      <c r="O102" s="4" t="s">
        <v>113</v>
      </c>
      <c r="P102" s="4" t="s">
        <v>49</v>
      </c>
      <c r="Q102" s="4" t="s">
        <v>192</v>
      </c>
      <c r="S102" s="4"/>
      <c r="T102" s="4">
        <v>0.86</v>
      </c>
      <c r="U102" s="4">
        <v>0.35</v>
      </c>
      <c r="V102" s="4">
        <v>2.19</v>
      </c>
      <c r="W102" s="4">
        <f t="shared" si="4"/>
        <v>1.96</v>
      </c>
      <c r="X102" s="4">
        <f t="shared" si="5"/>
        <v>-0.13296029033513423</v>
      </c>
      <c r="Y102" s="4">
        <f t="shared" si="3"/>
        <v>0.46778665008344061</v>
      </c>
      <c r="Z102" s="4">
        <v>26</v>
      </c>
      <c r="AA102" s="4">
        <v>25</v>
      </c>
      <c r="AB102" s="4">
        <v>51</v>
      </c>
      <c r="AC102" s="4"/>
      <c r="AD102" s="4"/>
      <c r="AE102" s="4" t="s">
        <v>293</v>
      </c>
      <c r="AF102" s="4"/>
      <c r="AG102" s="4"/>
    </row>
    <row r="103" spans="1:33" x14ac:dyDescent="0.35">
      <c r="A103" t="s">
        <v>45</v>
      </c>
      <c r="B103" t="s">
        <v>372</v>
      </c>
      <c r="F103" s="4"/>
      <c r="G103" s="12" t="s">
        <v>24</v>
      </c>
      <c r="H103" s="18">
        <v>2024</v>
      </c>
      <c r="I103" s="37"/>
      <c r="J103" s="4"/>
      <c r="K103" s="4"/>
      <c r="L103" s="4" t="s">
        <v>268</v>
      </c>
      <c r="M103" s="4" t="s">
        <v>269</v>
      </c>
      <c r="N103" s="4" t="s">
        <v>37</v>
      </c>
      <c r="O103" s="4" t="s">
        <v>37</v>
      </c>
      <c r="P103" s="4" t="s">
        <v>60</v>
      </c>
      <c r="Q103" s="4" t="s">
        <v>192</v>
      </c>
      <c r="S103" s="4"/>
      <c r="T103" s="4">
        <v>0.72</v>
      </c>
      <c r="U103" s="4">
        <v>0.56000000000000005</v>
      </c>
      <c r="V103" s="4">
        <v>0.93</v>
      </c>
      <c r="W103" s="4">
        <f t="shared" si="4"/>
        <v>1.96</v>
      </c>
      <c r="X103" s="4">
        <f t="shared" si="5"/>
        <v>-0.32619459404388873</v>
      </c>
      <c r="Y103" s="4">
        <f t="shared" si="3"/>
        <v>0.12939994959645579</v>
      </c>
      <c r="Z103" s="4">
        <v>397</v>
      </c>
      <c r="AA103" s="4">
        <v>400</v>
      </c>
      <c r="AB103" s="4">
        <v>797</v>
      </c>
      <c r="AC103" s="4"/>
      <c r="AD103" s="4"/>
      <c r="AE103" s="4"/>
      <c r="AF103" s="4"/>
      <c r="AG103" s="4"/>
    </row>
    <row r="104" spans="1:33" x14ac:dyDescent="0.35">
      <c r="A104" t="s">
        <v>45</v>
      </c>
      <c r="B104" t="s">
        <v>372</v>
      </c>
      <c r="F104" s="4"/>
      <c r="G104" s="12" t="s">
        <v>24</v>
      </c>
      <c r="H104" s="18">
        <v>2024</v>
      </c>
      <c r="I104" s="37"/>
      <c r="J104" s="4"/>
      <c r="K104" s="4"/>
      <c r="L104" s="4" t="s">
        <v>268</v>
      </c>
      <c r="M104" s="4" t="s">
        <v>269</v>
      </c>
      <c r="N104" s="4" t="s">
        <v>280</v>
      </c>
      <c r="O104" s="4" t="s">
        <v>230</v>
      </c>
      <c r="P104" s="4" t="s">
        <v>60</v>
      </c>
      <c r="Q104" s="4" t="s">
        <v>192</v>
      </c>
      <c r="S104" s="4"/>
      <c r="T104" s="4">
        <v>0.56999999999999995</v>
      </c>
      <c r="U104" s="4">
        <v>0.4</v>
      </c>
      <c r="V104" s="4">
        <v>0.8</v>
      </c>
      <c r="W104" s="4">
        <f t="shared" si="4"/>
        <v>1.96</v>
      </c>
      <c r="X104" s="4">
        <f t="shared" si="5"/>
        <v>-0.56971714159418241</v>
      </c>
      <c r="Y104" s="4">
        <f t="shared" si="3"/>
        <v>0.17682326034692483</v>
      </c>
      <c r="Z104" s="4">
        <v>221</v>
      </c>
      <c r="AA104" s="4">
        <v>214</v>
      </c>
      <c r="AB104" s="4"/>
      <c r="AC104" s="4"/>
      <c r="AD104" s="4"/>
      <c r="AE104" s="4"/>
      <c r="AF104" s="4"/>
      <c r="AG104" s="4"/>
    </row>
    <row r="105" spans="1:33" x14ac:dyDescent="0.35">
      <c r="A105" t="s">
        <v>45</v>
      </c>
      <c r="B105" t="s">
        <v>372</v>
      </c>
      <c r="F105" s="4"/>
      <c r="G105" s="12" t="s">
        <v>24</v>
      </c>
      <c r="H105" s="18">
        <v>2024</v>
      </c>
      <c r="I105" s="37"/>
      <c r="J105" s="4"/>
      <c r="K105" s="4"/>
      <c r="L105" s="4" t="s">
        <v>268</v>
      </c>
      <c r="M105" s="4" t="s">
        <v>269</v>
      </c>
      <c r="N105" s="4" t="s">
        <v>280</v>
      </c>
      <c r="O105" s="4" t="s">
        <v>56</v>
      </c>
      <c r="P105" s="4" t="s">
        <v>60</v>
      </c>
      <c r="Q105" s="4" t="s">
        <v>192</v>
      </c>
      <c r="S105" s="4"/>
      <c r="T105" s="4">
        <v>0.96</v>
      </c>
      <c r="U105" s="4">
        <v>0.67</v>
      </c>
      <c r="V105" s="4">
        <v>1.38</v>
      </c>
      <c r="W105" s="4">
        <f t="shared" si="4"/>
        <v>1.96</v>
      </c>
      <c r="X105" s="4">
        <f t="shared" si="5"/>
        <v>-3.9197033714006013E-2</v>
      </c>
      <c r="Y105" s="4">
        <f t="shared" si="3"/>
        <v>0.18432680249138736</v>
      </c>
      <c r="Z105" s="4">
        <v>176</v>
      </c>
      <c r="AA105" s="4">
        <v>186</v>
      </c>
      <c r="AB105" s="4"/>
      <c r="AC105" s="4"/>
      <c r="AD105" s="4"/>
      <c r="AE105" s="4"/>
      <c r="AF105" s="4"/>
      <c r="AG105" s="4"/>
    </row>
    <row r="106" spans="1:33" x14ac:dyDescent="0.35">
      <c r="A106" t="s">
        <v>45</v>
      </c>
      <c r="B106" t="s">
        <v>372</v>
      </c>
      <c r="F106" s="4"/>
      <c r="G106" s="12" t="s">
        <v>24</v>
      </c>
      <c r="H106" s="18">
        <v>2024</v>
      </c>
      <c r="I106" s="37"/>
      <c r="J106" s="4"/>
      <c r="K106" s="4"/>
      <c r="L106" s="4" t="s">
        <v>268</v>
      </c>
      <c r="M106" s="4" t="s">
        <v>269</v>
      </c>
      <c r="N106" s="4" t="s">
        <v>58</v>
      </c>
      <c r="O106" s="4" t="s">
        <v>59</v>
      </c>
      <c r="P106" s="4" t="s">
        <v>60</v>
      </c>
      <c r="Q106" s="4" t="s">
        <v>192</v>
      </c>
      <c r="S106" s="4"/>
      <c r="T106" s="4">
        <v>0.69</v>
      </c>
      <c r="U106" s="4">
        <v>0.39</v>
      </c>
      <c r="V106" s="4">
        <v>1.2</v>
      </c>
      <c r="W106" s="4">
        <f t="shared" si="4"/>
        <v>1.96</v>
      </c>
      <c r="X106" s="4">
        <f t="shared" si="5"/>
        <v>-0.37964349153224519</v>
      </c>
      <c r="Y106" s="4">
        <f t="shared" si="3"/>
        <v>0.28671686139091823</v>
      </c>
      <c r="Z106" s="4">
        <v>118</v>
      </c>
      <c r="AA106" s="4">
        <v>116</v>
      </c>
      <c r="AB106" s="4"/>
      <c r="AC106" s="4"/>
      <c r="AD106" s="4"/>
      <c r="AE106" s="4"/>
      <c r="AF106" s="4"/>
      <c r="AG106" s="4"/>
    </row>
    <row r="107" spans="1:33" x14ac:dyDescent="0.35">
      <c r="A107" t="s">
        <v>45</v>
      </c>
      <c r="B107" t="s">
        <v>372</v>
      </c>
      <c r="F107" s="4"/>
      <c r="G107" s="12" t="s">
        <v>24</v>
      </c>
      <c r="H107" s="18">
        <v>2024</v>
      </c>
      <c r="I107" s="37"/>
      <c r="J107" s="4"/>
      <c r="K107" s="4"/>
      <c r="L107" s="4" t="s">
        <v>268</v>
      </c>
      <c r="M107" s="4" t="s">
        <v>269</v>
      </c>
      <c r="N107" s="4" t="s">
        <v>58</v>
      </c>
      <c r="O107" s="4" t="s">
        <v>63</v>
      </c>
      <c r="P107" s="4" t="s">
        <v>60</v>
      </c>
      <c r="Q107" s="4" t="s">
        <v>192</v>
      </c>
      <c r="S107" s="4"/>
      <c r="T107" s="4">
        <v>0.73</v>
      </c>
      <c r="U107" s="4">
        <v>0.55000000000000004</v>
      </c>
      <c r="V107" s="4">
        <v>0.96</v>
      </c>
      <c r="W107" s="4">
        <f t="shared" si="4"/>
        <v>1.96</v>
      </c>
      <c r="X107" s="4">
        <f t="shared" si="5"/>
        <v>-0.31932949763793778</v>
      </c>
      <c r="Y107" s="4">
        <f t="shared" si="3"/>
        <v>0.14209566485596054</v>
      </c>
      <c r="Z107" s="4">
        <v>279</v>
      </c>
      <c r="AA107" s="4">
        <v>284</v>
      </c>
      <c r="AB107" s="4"/>
      <c r="AC107" s="4"/>
      <c r="AD107" s="4"/>
      <c r="AE107" s="4"/>
      <c r="AF107" s="4"/>
      <c r="AG107" s="4"/>
    </row>
    <row r="108" spans="1:33" x14ac:dyDescent="0.35">
      <c r="A108" t="s">
        <v>45</v>
      </c>
      <c r="B108" t="s">
        <v>372</v>
      </c>
      <c r="F108" s="4"/>
      <c r="G108" s="12" t="s">
        <v>24</v>
      </c>
      <c r="H108" s="18">
        <v>2024</v>
      </c>
      <c r="I108" s="37"/>
      <c r="J108" s="4"/>
      <c r="K108" s="4"/>
      <c r="L108" s="4" t="s">
        <v>268</v>
      </c>
      <c r="M108" s="4" t="s">
        <v>269</v>
      </c>
      <c r="N108" s="4" t="s">
        <v>65</v>
      </c>
      <c r="O108" s="4" t="s">
        <v>272</v>
      </c>
      <c r="P108" s="4" t="s">
        <v>60</v>
      </c>
      <c r="Q108" s="4" t="s">
        <v>192</v>
      </c>
      <c r="S108" s="4"/>
      <c r="T108" s="4">
        <v>0.66</v>
      </c>
      <c r="U108" s="4">
        <v>0.49</v>
      </c>
      <c r="V108" s="4">
        <v>0.9</v>
      </c>
      <c r="W108" s="4">
        <f t="shared" si="4"/>
        <v>1.96</v>
      </c>
      <c r="X108" s="4">
        <f t="shared" si="5"/>
        <v>-0.4093552017676455</v>
      </c>
      <c r="Y108" s="4">
        <f t="shared" si="3"/>
        <v>0.15509932964786699</v>
      </c>
      <c r="Z108" s="4">
        <v>250</v>
      </c>
      <c r="AA108" s="4">
        <v>239</v>
      </c>
      <c r="AB108" s="4"/>
      <c r="AC108" s="4"/>
      <c r="AD108" s="4"/>
      <c r="AE108" s="4"/>
      <c r="AF108" s="4"/>
      <c r="AG108" s="4"/>
    </row>
    <row r="109" spans="1:33" x14ac:dyDescent="0.35">
      <c r="A109" t="s">
        <v>45</v>
      </c>
      <c r="B109" t="s">
        <v>372</v>
      </c>
      <c r="F109" s="4"/>
      <c r="G109" s="12" t="s">
        <v>24</v>
      </c>
      <c r="H109" s="18">
        <v>2024</v>
      </c>
      <c r="I109" s="37"/>
      <c r="J109" s="4"/>
      <c r="K109" s="4"/>
      <c r="L109" s="4" t="s">
        <v>268</v>
      </c>
      <c r="M109" s="4" t="s">
        <v>269</v>
      </c>
      <c r="N109" s="4" t="s">
        <v>65</v>
      </c>
      <c r="O109" s="4" t="s">
        <v>294</v>
      </c>
      <c r="P109" s="4" t="s">
        <v>60</v>
      </c>
      <c r="Q109" s="4" t="s">
        <v>192</v>
      </c>
      <c r="S109" s="4"/>
      <c r="T109" s="4">
        <v>0.93</v>
      </c>
      <c r="U109" s="4">
        <v>0.59</v>
      </c>
      <c r="V109" s="4">
        <v>1.48</v>
      </c>
      <c r="W109" s="4">
        <f t="shared" si="4"/>
        <v>1.96</v>
      </c>
      <c r="X109" s="4">
        <f t="shared" si="5"/>
        <v>-6.7795327153174156E-2</v>
      </c>
      <c r="Y109" s="4">
        <f t="shared" si="3"/>
        <v>0.23461092598428462</v>
      </c>
      <c r="Z109" s="4">
        <v>134</v>
      </c>
      <c r="AA109" s="4">
        <v>145</v>
      </c>
      <c r="AB109" s="4"/>
      <c r="AC109" s="4"/>
      <c r="AD109" s="4"/>
      <c r="AE109" s="4"/>
      <c r="AF109" s="4"/>
      <c r="AG109" s="4"/>
    </row>
    <row r="110" spans="1:33" x14ac:dyDescent="0.35">
      <c r="A110" t="s">
        <v>45</v>
      </c>
      <c r="B110" t="s">
        <v>372</v>
      </c>
      <c r="F110" s="4"/>
      <c r="G110" s="12" t="s">
        <v>24</v>
      </c>
      <c r="H110" s="18">
        <v>2024</v>
      </c>
      <c r="I110" s="37"/>
      <c r="J110" s="4"/>
      <c r="K110" s="4"/>
      <c r="L110" s="4" t="s">
        <v>268</v>
      </c>
      <c r="M110" s="4" t="s">
        <v>269</v>
      </c>
      <c r="N110" s="4" t="s">
        <v>295</v>
      </c>
      <c r="O110" s="4" t="s">
        <v>296</v>
      </c>
      <c r="P110" s="4" t="s">
        <v>60</v>
      </c>
      <c r="Q110" s="4" t="s">
        <v>192</v>
      </c>
      <c r="S110" s="4"/>
      <c r="T110" s="4">
        <v>1.05</v>
      </c>
      <c r="U110" s="4">
        <v>0.64</v>
      </c>
      <c r="V110" s="4">
        <v>1.73</v>
      </c>
      <c r="W110" s="4">
        <f t="shared" si="4"/>
        <v>1.96</v>
      </c>
      <c r="X110" s="4">
        <f t="shared" si="5"/>
        <v>5.0917152940634064E-2</v>
      </c>
      <c r="Y110" s="4">
        <f t="shared" si="3"/>
        <v>0.25367564059645592</v>
      </c>
      <c r="Z110" s="4">
        <v>123</v>
      </c>
      <c r="AA110" s="4">
        <v>121</v>
      </c>
      <c r="AB110" s="4"/>
      <c r="AC110" s="4"/>
      <c r="AD110" s="4"/>
      <c r="AE110" s="4"/>
      <c r="AF110" s="4"/>
      <c r="AG110" s="4"/>
    </row>
    <row r="111" spans="1:33" x14ac:dyDescent="0.35">
      <c r="A111" t="s">
        <v>45</v>
      </c>
      <c r="B111" t="s">
        <v>372</v>
      </c>
      <c r="F111" s="4"/>
      <c r="G111" s="12" t="s">
        <v>24</v>
      </c>
      <c r="H111" s="18">
        <v>2024</v>
      </c>
      <c r="I111" s="37"/>
      <c r="J111" s="4"/>
      <c r="K111" s="4"/>
      <c r="L111" s="4" t="s">
        <v>268</v>
      </c>
      <c r="M111" s="4" t="s">
        <v>269</v>
      </c>
      <c r="N111" s="4" t="s">
        <v>295</v>
      </c>
      <c r="O111" s="4" t="s">
        <v>297</v>
      </c>
      <c r="P111" s="4" t="s">
        <v>60</v>
      </c>
      <c r="Q111" s="4" t="s">
        <v>192</v>
      </c>
      <c r="S111" s="4"/>
      <c r="T111" s="4">
        <v>0.63</v>
      </c>
      <c r="U111" s="4">
        <v>0.48</v>
      </c>
      <c r="V111" s="4">
        <v>0.85</v>
      </c>
      <c r="W111" s="4">
        <f t="shared" si="4"/>
        <v>1.96</v>
      </c>
      <c r="X111" s="4">
        <f t="shared" si="5"/>
        <v>-0.44824405228898767</v>
      </c>
      <c r="Y111" s="4">
        <f t="shared" si="3"/>
        <v>0.14577812387306774</v>
      </c>
      <c r="Z111" s="4">
        <v>274</v>
      </c>
      <c r="AA111" s="4">
        <v>279</v>
      </c>
      <c r="AB111" s="4"/>
      <c r="AC111" s="4"/>
      <c r="AD111" s="4"/>
      <c r="AE111" s="4"/>
      <c r="AF111" s="4"/>
      <c r="AG111" s="4"/>
    </row>
    <row r="112" spans="1:33" x14ac:dyDescent="0.35">
      <c r="A112" t="s">
        <v>45</v>
      </c>
      <c r="B112" t="s">
        <v>372</v>
      </c>
      <c r="F112" s="4"/>
      <c r="G112" s="12" t="s">
        <v>24</v>
      </c>
      <c r="H112" s="18">
        <v>2024</v>
      </c>
      <c r="I112" s="37"/>
      <c r="J112" s="4"/>
      <c r="K112" s="4"/>
      <c r="L112" s="4" t="s">
        <v>268</v>
      </c>
      <c r="M112" s="4" t="s">
        <v>269</v>
      </c>
      <c r="N112" s="4" t="s">
        <v>73</v>
      </c>
      <c r="O112" s="4" t="s">
        <v>298</v>
      </c>
      <c r="P112" s="4" t="s">
        <v>60</v>
      </c>
      <c r="Q112" s="4" t="s">
        <v>192</v>
      </c>
      <c r="S112" s="4"/>
      <c r="T112" s="4">
        <v>0.59</v>
      </c>
      <c r="U112" s="4">
        <v>0.38</v>
      </c>
      <c r="V112" s="4">
        <v>0.93</v>
      </c>
      <c r="W112" s="4">
        <f t="shared" si="4"/>
        <v>1.96</v>
      </c>
      <c r="X112" s="4">
        <f t="shared" si="5"/>
        <v>-0.5200773595482705</v>
      </c>
      <c r="Y112" s="4">
        <f t="shared" si="3"/>
        <v>0.22831972791501789</v>
      </c>
      <c r="Z112" s="4">
        <v>96</v>
      </c>
      <c r="AA112" s="4">
        <v>103</v>
      </c>
      <c r="AB112" s="4"/>
      <c r="AC112" s="4"/>
      <c r="AD112" s="4"/>
      <c r="AE112" s="4"/>
      <c r="AF112" s="4"/>
      <c r="AG112" s="4"/>
    </row>
    <row r="113" spans="1:33" x14ac:dyDescent="0.35">
      <c r="A113" t="s">
        <v>45</v>
      </c>
      <c r="B113" t="s">
        <v>372</v>
      </c>
      <c r="F113" s="4"/>
      <c r="G113" s="12" t="s">
        <v>24</v>
      </c>
      <c r="H113" s="18">
        <v>2024</v>
      </c>
      <c r="I113" s="37"/>
      <c r="J113" s="4"/>
      <c r="K113" s="4"/>
      <c r="L113" s="4" t="s">
        <v>268</v>
      </c>
      <c r="M113" s="4" t="s">
        <v>269</v>
      </c>
      <c r="N113" s="4" t="s">
        <v>73</v>
      </c>
      <c r="O113" s="4" t="s">
        <v>299</v>
      </c>
      <c r="P113" s="4" t="s">
        <v>60</v>
      </c>
      <c r="Q113" s="4" t="s">
        <v>192</v>
      </c>
      <c r="S113" s="4"/>
      <c r="T113" s="4">
        <v>0.76</v>
      </c>
      <c r="U113" s="4">
        <v>0.56000000000000005</v>
      </c>
      <c r="V113" s="4">
        <v>1.05</v>
      </c>
      <c r="W113" s="4">
        <f t="shared" si="4"/>
        <v>1.96</v>
      </c>
      <c r="X113" s="4">
        <f t="shared" si="5"/>
        <v>-0.265514165541755</v>
      </c>
      <c r="Y113" s="4">
        <f t="shared" si="3"/>
        <v>0.16035935189346279</v>
      </c>
      <c r="Z113" s="4">
        <v>247</v>
      </c>
      <c r="AA113" s="4">
        <v>250</v>
      </c>
      <c r="AB113" s="4"/>
      <c r="AC113" s="4"/>
      <c r="AD113" s="4"/>
      <c r="AE113" s="4"/>
      <c r="AF113" s="4"/>
      <c r="AG113" s="4"/>
    </row>
    <row r="114" spans="1:33" x14ac:dyDescent="0.35">
      <c r="A114" t="s">
        <v>45</v>
      </c>
      <c r="B114" t="s">
        <v>372</v>
      </c>
      <c r="F114" s="4"/>
      <c r="G114" s="12" t="s">
        <v>24</v>
      </c>
      <c r="H114" s="18">
        <v>2024</v>
      </c>
      <c r="I114" s="37"/>
      <c r="J114" s="4"/>
      <c r="K114" s="4"/>
      <c r="L114" s="4" t="s">
        <v>268</v>
      </c>
      <c r="M114" s="4" t="s">
        <v>269</v>
      </c>
      <c r="N114" s="4" t="s">
        <v>73</v>
      </c>
      <c r="O114" s="4" t="s">
        <v>300</v>
      </c>
      <c r="P114" s="4" t="s">
        <v>60</v>
      </c>
      <c r="Q114" s="4" t="s">
        <v>192</v>
      </c>
      <c r="S114" s="4"/>
      <c r="T114" s="4">
        <v>1</v>
      </c>
      <c r="U114" s="4">
        <v>0.41</v>
      </c>
      <c r="V114" s="4">
        <v>2.46</v>
      </c>
      <c r="W114" s="4">
        <f t="shared" si="4"/>
        <v>1.96</v>
      </c>
      <c r="X114" s="4">
        <f t="shared" si="5"/>
        <v>4.2816153302439042E-3</v>
      </c>
      <c r="Y114" s="4">
        <f t="shared" si="3"/>
        <v>0.45708149725205482</v>
      </c>
      <c r="Z114" s="4">
        <v>54</v>
      </c>
      <c r="AA114" s="4">
        <v>47</v>
      </c>
      <c r="AB114" s="4"/>
      <c r="AC114" s="4"/>
      <c r="AD114" s="4"/>
      <c r="AE114" s="4"/>
      <c r="AF114" s="4"/>
      <c r="AG114" s="4"/>
    </row>
    <row r="115" spans="1:33" x14ac:dyDescent="0.35">
      <c r="A115" t="s">
        <v>45</v>
      </c>
      <c r="B115" t="s">
        <v>372</v>
      </c>
      <c r="F115" s="4"/>
      <c r="G115" s="12" t="s">
        <v>24</v>
      </c>
      <c r="H115" s="18">
        <v>2024</v>
      </c>
      <c r="I115" s="37"/>
      <c r="J115" s="4"/>
      <c r="K115" s="4"/>
      <c r="L115" s="4" t="s">
        <v>268</v>
      </c>
      <c r="M115" s="4" t="s">
        <v>269</v>
      </c>
      <c r="N115" s="4" t="s">
        <v>301</v>
      </c>
      <c r="O115" s="4" t="s">
        <v>286</v>
      </c>
      <c r="P115" s="4" t="s">
        <v>60</v>
      </c>
      <c r="Q115" s="4" t="s">
        <v>192</v>
      </c>
      <c r="S115" s="4"/>
      <c r="T115" s="4">
        <v>0.7</v>
      </c>
      <c r="U115" s="4">
        <v>0.46</v>
      </c>
      <c r="V115" s="4">
        <v>1.05</v>
      </c>
      <c r="W115" s="4">
        <f t="shared" si="4"/>
        <v>1.96</v>
      </c>
      <c r="X115" s="4">
        <f t="shared" si="5"/>
        <v>-0.36386931266478212</v>
      </c>
      <c r="Y115" s="4">
        <f t="shared" si="3"/>
        <v>0.2105405494052113</v>
      </c>
      <c r="Z115" s="4">
        <v>148</v>
      </c>
      <c r="AA115" s="4">
        <v>142</v>
      </c>
      <c r="AB115" s="4"/>
      <c r="AC115" s="4"/>
      <c r="AD115" s="4"/>
      <c r="AE115" s="4"/>
      <c r="AF115" s="4"/>
      <c r="AG115" s="4"/>
    </row>
    <row r="116" spans="1:33" x14ac:dyDescent="0.35">
      <c r="A116" t="s">
        <v>45</v>
      </c>
      <c r="B116" t="s">
        <v>372</v>
      </c>
      <c r="F116" s="4"/>
      <c r="G116" s="12" t="s">
        <v>24</v>
      </c>
      <c r="H116" s="18">
        <v>2024</v>
      </c>
      <c r="I116" s="37"/>
      <c r="J116" s="4"/>
      <c r="K116" s="4"/>
      <c r="L116" s="4" t="s">
        <v>268</v>
      </c>
      <c r="M116" s="4" t="s">
        <v>269</v>
      </c>
      <c r="N116" s="4" t="s">
        <v>301</v>
      </c>
      <c r="O116" s="4" t="s">
        <v>287</v>
      </c>
      <c r="P116" s="4" t="s">
        <v>60</v>
      </c>
      <c r="Q116" s="4" t="s">
        <v>192</v>
      </c>
      <c r="S116" s="4"/>
      <c r="T116" s="4">
        <v>0.74</v>
      </c>
      <c r="U116" s="4">
        <v>0.41</v>
      </c>
      <c r="V116" s="4">
        <v>1.33</v>
      </c>
      <c r="W116" s="4">
        <f t="shared" si="4"/>
        <v>1.96</v>
      </c>
      <c r="X116" s="4">
        <f t="shared" si="5"/>
        <v>-0.30320958852506058</v>
      </c>
      <c r="Y116" s="4">
        <f t="shared" si="3"/>
        <v>0.30019822997894036</v>
      </c>
      <c r="Z116" s="4">
        <v>81</v>
      </c>
      <c r="AA116" s="4">
        <v>71</v>
      </c>
      <c r="AB116" s="4"/>
      <c r="AC116" s="4"/>
      <c r="AD116" s="4"/>
      <c r="AE116" s="4"/>
      <c r="AF116" s="4"/>
      <c r="AG116" s="4"/>
    </row>
    <row r="117" spans="1:33" x14ac:dyDescent="0.35">
      <c r="A117" t="s">
        <v>45</v>
      </c>
      <c r="B117" t="s">
        <v>372</v>
      </c>
      <c r="F117" s="4"/>
      <c r="G117" s="12" t="s">
        <v>24</v>
      </c>
      <c r="H117" s="18">
        <v>2024</v>
      </c>
      <c r="I117" s="37"/>
      <c r="J117" s="4"/>
      <c r="K117" s="4"/>
      <c r="L117" s="4" t="s">
        <v>268</v>
      </c>
      <c r="M117" s="4" t="s">
        <v>269</v>
      </c>
      <c r="N117" s="4" t="s">
        <v>301</v>
      </c>
      <c r="O117" s="4" t="s">
        <v>220</v>
      </c>
      <c r="P117" s="4" t="s">
        <v>60</v>
      </c>
      <c r="Q117" s="4" t="s">
        <v>192</v>
      </c>
      <c r="S117" s="4"/>
      <c r="T117" s="4">
        <v>0.74</v>
      </c>
      <c r="U117" s="4">
        <v>0.51</v>
      </c>
      <c r="V117" s="4">
        <v>1.07</v>
      </c>
      <c r="W117" s="4">
        <f t="shared" si="4"/>
        <v>1.96</v>
      </c>
      <c r="X117" s="4">
        <f t="shared" si="5"/>
        <v>-0.30284295239497538</v>
      </c>
      <c r="Y117" s="4">
        <f t="shared" si="3"/>
        <v>0.18903142901468892</v>
      </c>
      <c r="Z117" s="4">
        <v>168</v>
      </c>
      <c r="AA117" s="4">
        <v>187</v>
      </c>
      <c r="AB117" s="4"/>
      <c r="AC117" s="4"/>
      <c r="AD117" s="4"/>
      <c r="AE117" s="4"/>
      <c r="AF117" s="4"/>
      <c r="AG117" s="4"/>
    </row>
    <row r="118" spans="1:33" x14ac:dyDescent="0.35">
      <c r="A118" t="s">
        <v>45</v>
      </c>
      <c r="B118" t="s">
        <v>372</v>
      </c>
      <c r="F118" s="4"/>
      <c r="G118" s="12" t="s">
        <v>24</v>
      </c>
      <c r="H118" s="18">
        <v>2024</v>
      </c>
      <c r="I118" s="37"/>
      <c r="J118" s="4"/>
      <c r="K118" s="4"/>
      <c r="L118" s="4" t="s">
        <v>268</v>
      </c>
      <c r="M118" s="4" t="s">
        <v>269</v>
      </c>
      <c r="N118" s="4" t="s">
        <v>77</v>
      </c>
      <c r="O118" s="4" t="s">
        <v>83</v>
      </c>
      <c r="P118" s="4" t="s">
        <v>60</v>
      </c>
      <c r="Q118" s="4" t="s">
        <v>192</v>
      </c>
      <c r="S118" s="4"/>
      <c r="T118" s="4">
        <v>0.67</v>
      </c>
      <c r="U118" s="4">
        <v>0.41</v>
      </c>
      <c r="V118" s="4">
        <v>1.1000000000000001</v>
      </c>
      <c r="W118" s="4">
        <f t="shared" si="4"/>
        <v>1.96</v>
      </c>
      <c r="X118" s="4">
        <f t="shared" si="5"/>
        <v>-0.39814396973972932</v>
      </c>
      <c r="Y118" s="4">
        <f t="shared" si="3"/>
        <v>0.2517623211959461</v>
      </c>
      <c r="Z118" s="4">
        <v>118</v>
      </c>
      <c r="AA118" s="4">
        <v>121</v>
      </c>
      <c r="AB118" s="4"/>
      <c r="AC118" s="4"/>
      <c r="AD118" s="4"/>
      <c r="AE118" s="4"/>
      <c r="AF118" s="4"/>
      <c r="AG118" s="4"/>
    </row>
    <row r="119" spans="1:33" x14ac:dyDescent="0.35">
      <c r="A119" t="s">
        <v>45</v>
      </c>
      <c r="B119" t="s">
        <v>372</v>
      </c>
      <c r="F119" s="4"/>
      <c r="G119" s="12" t="s">
        <v>24</v>
      </c>
      <c r="H119" s="18">
        <v>2024</v>
      </c>
      <c r="I119" s="37"/>
      <c r="J119" s="4"/>
      <c r="K119" s="4"/>
      <c r="L119" s="4" t="s">
        <v>268</v>
      </c>
      <c r="M119" s="4" t="s">
        <v>269</v>
      </c>
      <c r="N119" s="4" t="s">
        <v>77</v>
      </c>
      <c r="O119" s="4" t="s">
        <v>23</v>
      </c>
      <c r="P119" s="4" t="s">
        <v>60</v>
      </c>
      <c r="Q119" s="4" t="s">
        <v>192</v>
      </c>
      <c r="S119" s="4"/>
      <c r="T119" s="4">
        <v>0.74</v>
      </c>
      <c r="U119" s="4">
        <v>0.55000000000000004</v>
      </c>
      <c r="V119" s="4">
        <v>0.98</v>
      </c>
      <c r="W119" s="4">
        <f t="shared" si="4"/>
        <v>1.96</v>
      </c>
      <c r="X119" s="4">
        <f t="shared" si="5"/>
        <v>-0.30901985403656995</v>
      </c>
      <c r="Y119" s="4">
        <f t="shared" si="3"/>
        <v>0.14735568710155636</v>
      </c>
      <c r="Z119" s="4">
        <v>279</v>
      </c>
      <c r="AA119" s="4">
        <v>279</v>
      </c>
      <c r="AB119" s="4"/>
      <c r="AC119" s="4"/>
      <c r="AD119" s="4"/>
      <c r="AE119" s="4"/>
      <c r="AF119" s="4"/>
      <c r="AG119" s="4"/>
    </row>
    <row r="120" spans="1:33" x14ac:dyDescent="0.35">
      <c r="A120" t="s">
        <v>45</v>
      </c>
      <c r="B120" t="s">
        <v>372</v>
      </c>
      <c r="F120" s="4"/>
      <c r="G120" s="12" t="s">
        <v>24</v>
      </c>
      <c r="H120" s="18">
        <v>2024</v>
      </c>
      <c r="I120" s="37"/>
      <c r="J120" s="4"/>
      <c r="K120" s="4"/>
      <c r="L120" s="4" t="s">
        <v>268</v>
      </c>
      <c r="M120" s="4" t="s">
        <v>269</v>
      </c>
      <c r="N120" s="4" t="s">
        <v>77</v>
      </c>
      <c r="O120" s="4" t="s">
        <v>302</v>
      </c>
      <c r="P120" s="4" t="s">
        <v>60</v>
      </c>
      <c r="Q120" s="4" t="s">
        <v>192</v>
      </c>
      <c r="S120" s="4"/>
      <c r="T120" s="4">
        <v>0.75</v>
      </c>
      <c r="U120" s="4">
        <v>0.23</v>
      </c>
      <c r="V120" s="4">
        <v>2.4700000000000002</v>
      </c>
      <c r="W120" s="4">
        <f t="shared" si="4"/>
        <v>1.96</v>
      </c>
      <c r="X120" s="4">
        <f t="shared" si="5"/>
        <v>-0.28272890970952791</v>
      </c>
      <c r="Y120" s="4">
        <f t="shared" si="3"/>
        <v>0.60558523487214999</v>
      </c>
      <c r="Z120" s="4">
        <v>22</v>
      </c>
      <c r="AA120" s="4">
        <v>19</v>
      </c>
      <c r="AB120" s="4"/>
      <c r="AC120" s="4"/>
      <c r="AD120" s="4"/>
      <c r="AE120" s="4"/>
      <c r="AF120" s="4"/>
      <c r="AG120" s="4"/>
    </row>
    <row r="121" spans="1:33" x14ac:dyDescent="0.35">
      <c r="A121" t="s">
        <v>45</v>
      </c>
      <c r="B121" t="s">
        <v>372</v>
      </c>
      <c r="F121" s="4"/>
      <c r="G121" s="12" t="s">
        <v>24</v>
      </c>
      <c r="H121" s="18">
        <v>2024</v>
      </c>
      <c r="I121" s="37"/>
      <c r="J121" s="4"/>
      <c r="K121" s="4"/>
      <c r="L121" s="4" t="s">
        <v>268</v>
      </c>
      <c r="M121" s="4" t="s">
        <v>269</v>
      </c>
      <c r="N121" s="4" t="s">
        <v>77</v>
      </c>
      <c r="O121" s="4" t="s">
        <v>303</v>
      </c>
      <c r="P121" s="4" t="s">
        <v>60</v>
      </c>
      <c r="Q121" s="4" t="s">
        <v>192</v>
      </c>
      <c r="S121" s="4"/>
      <c r="T121" s="4">
        <v>0.65</v>
      </c>
      <c r="U121" s="4">
        <v>0.38</v>
      </c>
      <c r="V121" s="4">
        <v>1.1299999999999999</v>
      </c>
      <c r="W121" s="4">
        <f t="shared" si="4"/>
        <v>1.96</v>
      </c>
      <c r="X121" s="4">
        <f t="shared" si="5"/>
        <v>-0.42268319676872823</v>
      </c>
      <c r="Y121" s="4">
        <f t="shared" si="3"/>
        <v>0.27801062729233539</v>
      </c>
      <c r="Z121" s="4">
        <v>96</v>
      </c>
      <c r="AA121" s="4">
        <v>102</v>
      </c>
      <c r="AB121" s="4"/>
      <c r="AC121" s="4"/>
      <c r="AD121" s="4"/>
      <c r="AE121" s="4"/>
      <c r="AF121" s="4"/>
      <c r="AG121" s="4"/>
    </row>
    <row r="122" spans="1:33" x14ac:dyDescent="0.35">
      <c r="A122" t="s">
        <v>45</v>
      </c>
      <c r="B122" t="s">
        <v>372</v>
      </c>
      <c r="F122" s="4"/>
      <c r="G122" s="12" t="s">
        <v>24</v>
      </c>
      <c r="H122" s="18">
        <v>2024</v>
      </c>
      <c r="I122" s="37"/>
      <c r="J122" s="4"/>
      <c r="K122" s="4"/>
      <c r="L122" s="4" t="s">
        <v>268</v>
      </c>
      <c r="M122" s="4" t="s">
        <v>269</v>
      </c>
      <c r="N122" s="4" t="s">
        <v>77</v>
      </c>
      <c r="O122" s="4" t="s">
        <v>84</v>
      </c>
      <c r="P122" s="4" t="s">
        <v>60</v>
      </c>
      <c r="Q122" s="4" t="s">
        <v>192</v>
      </c>
      <c r="S122" s="4"/>
      <c r="T122" s="4">
        <v>0.74</v>
      </c>
      <c r="U122" s="4">
        <v>0.53</v>
      </c>
      <c r="V122" s="4">
        <v>1.03</v>
      </c>
      <c r="W122" s="4">
        <f t="shared" si="4"/>
        <v>1.96</v>
      </c>
      <c r="X122" s="4">
        <f t="shared" si="5"/>
        <v>-0.30265973509721256</v>
      </c>
      <c r="Y122" s="4">
        <f t="shared" si="3"/>
        <v>0.16949925374426375</v>
      </c>
      <c r="Z122" s="4">
        <v>217</v>
      </c>
      <c r="AA122" s="4">
        <v>224</v>
      </c>
      <c r="AB122" s="4"/>
      <c r="AC122" s="4"/>
      <c r="AD122" s="4"/>
      <c r="AE122" s="4"/>
      <c r="AF122" s="4"/>
      <c r="AG122" s="4"/>
    </row>
    <row r="123" spans="1:33" x14ac:dyDescent="0.35">
      <c r="A123" t="s">
        <v>45</v>
      </c>
      <c r="B123" t="s">
        <v>372</v>
      </c>
      <c r="F123" s="4"/>
      <c r="G123" s="12" t="s">
        <v>24</v>
      </c>
      <c r="H123" s="18">
        <v>2024</v>
      </c>
      <c r="I123" s="37"/>
      <c r="J123" s="4"/>
      <c r="K123" s="4"/>
      <c r="L123" s="4" t="s">
        <v>268</v>
      </c>
      <c r="M123" s="4" t="s">
        <v>269</v>
      </c>
      <c r="N123" s="4" t="s">
        <v>77</v>
      </c>
      <c r="O123" s="4" t="s">
        <v>85</v>
      </c>
      <c r="P123" s="4" t="s">
        <v>60</v>
      </c>
      <c r="Q123" s="4" t="s">
        <v>192</v>
      </c>
      <c r="S123" s="4"/>
      <c r="T123" s="4">
        <v>0.69</v>
      </c>
      <c r="U123" s="4">
        <v>0.39</v>
      </c>
      <c r="V123" s="4">
        <v>1.22</v>
      </c>
      <c r="W123" s="4">
        <f t="shared" si="4"/>
        <v>1.96</v>
      </c>
      <c r="X123" s="4">
        <f t="shared" si="5"/>
        <v>-0.37137884055663989</v>
      </c>
      <c r="Y123" s="4">
        <f t="shared" si="3"/>
        <v>0.29093352005194134</v>
      </c>
      <c r="Z123" s="4">
        <v>62</v>
      </c>
      <c r="AA123" s="4">
        <v>55</v>
      </c>
      <c r="AB123" s="4"/>
      <c r="AC123" s="4"/>
      <c r="AD123" s="4"/>
      <c r="AE123" s="4"/>
      <c r="AF123" s="4"/>
      <c r="AG123" s="4"/>
    </row>
    <row r="124" spans="1:33" x14ac:dyDescent="0.35">
      <c r="A124" t="s">
        <v>45</v>
      </c>
      <c r="B124" t="s">
        <v>372</v>
      </c>
      <c r="F124" s="4"/>
      <c r="G124" s="12" t="s">
        <v>24</v>
      </c>
      <c r="H124" s="18">
        <v>2024</v>
      </c>
      <c r="I124" s="37"/>
      <c r="J124" s="4"/>
      <c r="K124" s="4"/>
      <c r="L124" s="4" t="s">
        <v>268</v>
      </c>
      <c r="M124" s="4" t="s">
        <v>269</v>
      </c>
      <c r="N124" s="4" t="s">
        <v>304</v>
      </c>
      <c r="O124" s="4" t="s">
        <v>305</v>
      </c>
      <c r="P124" s="4" t="s">
        <v>60</v>
      </c>
      <c r="Q124" s="4" t="s">
        <v>192</v>
      </c>
      <c r="S124" s="4"/>
      <c r="T124" s="4">
        <v>0.74</v>
      </c>
      <c r="U124" s="4">
        <v>0.51</v>
      </c>
      <c r="V124" s="4">
        <v>1.07</v>
      </c>
      <c r="W124" s="4">
        <f t="shared" si="4"/>
        <v>1.96</v>
      </c>
      <c r="X124" s="4">
        <f t="shared" si="5"/>
        <v>-0.30284295239497538</v>
      </c>
      <c r="Y124" s="4">
        <f t="shared" si="3"/>
        <v>0.18903142901468892</v>
      </c>
      <c r="Z124" s="4">
        <v>168</v>
      </c>
      <c r="AA124" s="4">
        <v>187</v>
      </c>
      <c r="AB124" s="4"/>
      <c r="AC124" s="4"/>
      <c r="AD124" s="4"/>
      <c r="AE124" s="4"/>
      <c r="AF124" s="4"/>
      <c r="AG124" s="4"/>
    </row>
    <row r="125" spans="1:33" x14ac:dyDescent="0.35">
      <c r="A125" t="s">
        <v>45</v>
      </c>
      <c r="B125" t="s">
        <v>372</v>
      </c>
      <c r="F125" s="4"/>
      <c r="G125" s="12" t="s">
        <v>24</v>
      </c>
      <c r="H125" s="18">
        <v>2024</v>
      </c>
      <c r="I125" s="37"/>
      <c r="J125" s="4"/>
      <c r="K125" s="4"/>
      <c r="L125" s="4" t="s">
        <v>268</v>
      </c>
      <c r="M125" s="4" t="s">
        <v>269</v>
      </c>
      <c r="N125" s="4" t="s">
        <v>306</v>
      </c>
      <c r="O125" s="4" t="s">
        <v>307</v>
      </c>
      <c r="P125" s="4" t="s">
        <v>60</v>
      </c>
      <c r="Q125" s="4" t="s">
        <v>192</v>
      </c>
      <c r="S125" s="4"/>
      <c r="T125" s="4">
        <v>0.71</v>
      </c>
      <c r="U125" s="4">
        <v>0.45</v>
      </c>
      <c r="V125" s="4">
        <v>1.1299999999999999</v>
      </c>
      <c r="W125" s="4">
        <f t="shared" si="4"/>
        <v>1.96</v>
      </c>
      <c r="X125" s="4">
        <f t="shared" si="5"/>
        <v>-0.33814503174676125</v>
      </c>
      <c r="Y125" s="4">
        <f t="shared" si="3"/>
        <v>0.23487891044439305</v>
      </c>
      <c r="Z125" s="4">
        <v>111</v>
      </c>
      <c r="AA125" s="4">
        <v>92</v>
      </c>
      <c r="AB125" s="4"/>
      <c r="AC125" s="4"/>
      <c r="AD125" s="4"/>
      <c r="AE125" s="4"/>
      <c r="AF125" s="4"/>
      <c r="AG125" s="4"/>
    </row>
    <row r="126" spans="1:33" x14ac:dyDescent="0.35">
      <c r="A126" t="s">
        <v>45</v>
      </c>
      <c r="B126" t="s">
        <v>372</v>
      </c>
      <c r="F126" s="4"/>
      <c r="G126" s="12" t="s">
        <v>24</v>
      </c>
      <c r="H126" s="18">
        <v>2024</v>
      </c>
      <c r="I126" s="37"/>
      <c r="J126" s="4"/>
      <c r="K126" s="4"/>
      <c r="L126" s="4" t="s">
        <v>268</v>
      </c>
      <c r="M126" s="4" t="s">
        <v>269</v>
      </c>
      <c r="N126" s="4" t="s">
        <v>79</v>
      </c>
      <c r="O126" s="4" t="s">
        <v>308</v>
      </c>
      <c r="P126" s="4" t="s">
        <v>60</v>
      </c>
      <c r="Q126" s="4" t="s">
        <v>192</v>
      </c>
      <c r="S126" s="4"/>
      <c r="T126" s="4">
        <v>0.73</v>
      </c>
      <c r="U126" s="4">
        <v>0.5</v>
      </c>
      <c r="V126" s="4">
        <v>1.06</v>
      </c>
      <c r="W126" s="4">
        <f t="shared" si="4"/>
        <v>1.96</v>
      </c>
      <c r="X126" s="4">
        <f t="shared" si="5"/>
        <v>-0.31743913621798475</v>
      </c>
      <c r="Y126" s="4">
        <f t="shared" si="3"/>
        <v>0.19168777772549006</v>
      </c>
      <c r="Z126" s="4">
        <v>226</v>
      </c>
      <c r="AA126" s="4">
        <v>227</v>
      </c>
      <c r="AB126" s="4"/>
      <c r="AC126" s="4"/>
      <c r="AD126" s="4"/>
      <c r="AE126" s="4"/>
      <c r="AF126" s="4"/>
      <c r="AG126" s="4"/>
    </row>
    <row r="127" spans="1:33" x14ac:dyDescent="0.35">
      <c r="A127" t="s">
        <v>45</v>
      </c>
      <c r="B127" t="s">
        <v>372</v>
      </c>
      <c r="F127" s="4"/>
      <c r="G127" s="12" t="s">
        <v>24</v>
      </c>
      <c r="H127" s="18">
        <v>2024</v>
      </c>
      <c r="I127" s="37"/>
      <c r="J127" s="4"/>
      <c r="K127" s="4"/>
      <c r="L127" s="4" t="s">
        <v>268</v>
      </c>
      <c r="M127" s="4" t="s">
        <v>269</v>
      </c>
      <c r="N127" s="4" t="s">
        <v>79</v>
      </c>
      <c r="O127" s="4" t="s">
        <v>81</v>
      </c>
      <c r="P127" s="4" t="s">
        <v>60</v>
      </c>
      <c r="Q127" s="4" t="s">
        <v>192</v>
      </c>
      <c r="S127" s="4"/>
      <c r="T127" s="4">
        <v>0.71</v>
      </c>
      <c r="U127" s="4">
        <v>0.51</v>
      </c>
      <c r="V127" s="4">
        <v>0.99</v>
      </c>
      <c r="W127" s="4">
        <f t="shared" si="4"/>
        <v>1.96</v>
      </c>
      <c r="X127" s="4">
        <f t="shared" si="5"/>
        <v>-0.34169744455863355</v>
      </c>
      <c r="Y127" s="4">
        <f t="shared" si="3"/>
        <v>0.16920770852302658</v>
      </c>
      <c r="Z127" s="4">
        <v>171</v>
      </c>
      <c r="AA127" s="4">
        <v>173</v>
      </c>
      <c r="AB127" s="4"/>
      <c r="AC127" s="4"/>
      <c r="AD127" s="4"/>
      <c r="AE127" s="4"/>
      <c r="AF127" s="4"/>
      <c r="AG127" s="4"/>
    </row>
    <row r="128" spans="1:33" x14ac:dyDescent="0.35">
      <c r="A128" t="s">
        <v>45</v>
      </c>
      <c r="B128" t="s">
        <v>372</v>
      </c>
      <c r="F128" s="4"/>
      <c r="G128" s="12" t="s">
        <v>24</v>
      </c>
      <c r="H128" s="18">
        <v>2024</v>
      </c>
      <c r="I128" s="37"/>
      <c r="J128" s="4"/>
      <c r="K128" s="4"/>
      <c r="L128" s="4" t="s">
        <v>268</v>
      </c>
      <c r="M128" s="4" t="s">
        <v>269</v>
      </c>
      <c r="N128" s="4" t="s">
        <v>101</v>
      </c>
      <c r="O128" s="4" t="s">
        <v>309</v>
      </c>
      <c r="P128" s="4" t="s">
        <v>60</v>
      </c>
      <c r="Q128" s="4" t="s">
        <v>192</v>
      </c>
      <c r="S128" s="4"/>
      <c r="T128" s="4">
        <v>0.79</v>
      </c>
      <c r="U128" s="4">
        <v>0.6</v>
      </c>
      <c r="V128" s="4">
        <v>1.06</v>
      </c>
      <c r="W128" s="4">
        <f t="shared" si="4"/>
        <v>1.96</v>
      </c>
      <c r="X128" s="4">
        <f t="shared" si="5"/>
        <v>-0.22627835782100744</v>
      </c>
      <c r="Y128" s="4">
        <f t="shared" si="3"/>
        <v>0.14517717650254247</v>
      </c>
      <c r="Z128" s="4">
        <v>265</v>
      </c>
      <c r="AA128" s="4">
        <v>266</v>
      </c>
      <c r="AB128" s="4"/>
      <c r="AC128" s="4"/>
      <c r="AD128" s="4"/>
      <c r="AE128" s="4"/>
      <c r="AF128" s="4"/>
      <c r="AG128" s="4"/>
    </row>
    <row r="129" spans="1:33" x14ac:dyDescent="0.35">
      <c r="A129" t="s">
        <v>45</v>
      </c>
      <c r="B129" t="s">
        <v>372</v>
      </c>
      <c r="F129" s="4"/>
      <c r="G129" s="12" t="s">
        <v>24</v>
      </c>
      <c r="H129" s="18">
        <v>2024</v>
      </c>
      <c r="I129" s="37"/>
      <c r="J129" s="4"/>
      <c r="K129" s="4"/>
      <c r="L129" s="4" t="s">
        <v>268</v>
      </c>
      <c r="M129" s="4" t="s">
        <v>269</v>
      </c>
      <c r="N129" s="4" t="s">
        <v>101</v>
      </c>
      <c r="O129" s="4" t="s">
        <v>277</v>
      </c>
      <c r="P129" s="4" t="s">
        <v>60</v>
      </c>
      <c r="Q129" s="4" t="s">
        <v>192</v>
      </c>
      <c r="S129" s="4"/>
      <c r="T129" s="4">
        <v>0.55000000000000004</v>
      </c>
      <c r="U129" s="4">
        <v>0.33</v>
      </c>
      <c r="V129" s="4">
        <v>0.92</v>
      </c>
      <c r="W129" s="4">
        <f t="shared" si="4"/>
        <v>1.96</v>
      </c>
      <c r="X129" s="4">
        <f t="shared" si="5"/>
        <v>-0.59602211673033112</v>
      </c>
      <c r="Y129" s="4">
        <f t="shared" si="3"/>
        <v>0.26155127948534695</v>
      </c>
      <c r="Z129" s="4">
        <v>132</v>
      </c>
      <c r="AA129" s="4">
        <v>134</v>
      </c>
      <c r="AB129" s="4"/>
      <c r="AC129" s="4"/>
      <c r="AD129" s="4"/>
      <c r="AE129" s="4"/>
      <c r="AF129" s="4"/>
      <c r="AG129" s="4"/>
    </row>
    <row r="130" spans="1:33" x14ac:dyDescent="0.35">
      <c r="A130" t="s">
        <v>45</v>
      </c>
      <c r="B130" t="s">
        <v>372</v>
      </c>
      <c r="F130" s="4"/>
      <c r="G130" s="12" t="s">
        <v>24</v>
      </c>
      <c r="H130" s="18">
        <v>2024</v>
      </c>
      <c r="I130" s="37"/>
      <c r="J130" s="4"/>
      <c r="K130" s="4"/>
      <c r="L130" s="4" t="s">
        <v>268</v>
      </c>
      <c r="M130" s="4" t="s">
        <v>269</v>
      </c>
      <c r="N130" s="4" t="s">
        <v>101</v>
      </c>
      <c r="O130" s="4" t="s">
        <v>274</v>
      </c>
      <c r="P130" s="4" t="s">
        <v>60</v>
      </c>
      <c r="Q130" s="4" t="s">
        <v>192</v>
      </c>
      <c r="S130" s="4"/>
      <c r="T130" s="4">
        <v>0.91</v>
      </c>
      <c r="U130" s="4">
        <v>0.63</v>
      </c>
      <c r="V130" s="4">
        <v>1.32</v>
      </c>
      <c r="W130" s="4">
        <f t="shared" si="4"/>
        <v>1.96</v>
      </c>
      <c r="X130" s="4">
        <f t="shared" si="5"/>
        <v>-9.2201861499139559E-2</v>
      </c>
      <c r="Y130" s="4">
        <f t="shared" ref="Y130:Y193" si="6">( LN(V130) - LN(U130))/(2*W130)</f>
        <v>0.18869061127419343</v>
      </c>
      <c r="Z130" s="4">
        <v>138</v>
      </c>
      <c r="AA130" s="4">
        <v>151</v>
      </c>
      <c r="AB130" s="4"/>
      <c r="AC130" s="4"/>
      <c r="AD130" s="4"/>
      <c r="AE130" s="4"/>
      <c r="AF130" s="4"/>
      <c r="AG130" s="4"/>
    </row>
    <row r="131" spans="1:33" x14ac:dyDescent="0.35">
      <c r="A131" t="s">
        <v>45</v>
      </c>
      <c r="B131" t="s">
        <v>372</v>
      </c>
      <c r="F131" s="4"/>
      <c r="G131" s="12" t="s">
        <v>24</v>
      </c>
      <c r="H131" s="18">
        <v>2024</v>
      </c>
      <c r="I131" s="37"/>
      <c r="J131" s="4"/>
      <c r="K131" s="4"/>
      <c r="L131" s="4" t="s">
        <v>268</v>
      </c>
      <c r="M131" s="4" t="s">
        <v>269</v>
      </c>
      <c r="N131" s="4" t="s">
        <v>101</v>
      </c>
      <c r="O131" s="4" t="s">
        <v>275</v>
      </c>
      <c r="P131" s="4" t="s">
        <v>60</v>
      </c>
      <c r="Q131" s="4" t="s">
        <v>192</v>
      </c>
      <c r="S131" s="4"/>
      <c r="T131" s="4">
        <v>0.62</v>
      </c>
      <c r="U131" s="4">
        <v>0.45</v>
      </c>
      <c r="V131" s="4">
        <v>0.87</v>
      </c>
      <c r="W131" s="4">
        <f t="shared" ref="W131:W194" si="7">IF(ISBLANK(S131), 1.96, _xlfn.NORM.S.INV((1 + S131/100)/2))</f>
        <v>1.96</v>
      </c>
      <c r="X131" s="4">
        <f t="shared" ref="X131:X194" si="8">(LN(U131) + LN(V131))/2</f>
        <v>-0.46888488177563964</v>
      </c>
      <c r="Y131" s="4">
        <f t="shared" si="6"/>
        <v>0.16817490532761836</v>
      </c>
      <c r="Z131" s="4">
        <v>259</v>
      </c>
      <c r="AA131" s="4">
        <v>249</v>
      </c>
      <c r="AB131" s="4"/>
      <c r="AC131" s="4"/>
      <c r="AD131" s="4"/>
      <c r="AE131" s="4"/>
      <c r="AF131" s="4"/>
      <c r="AG131" s="4"/>
    </row>
    <row r="132" spans="1:33" x14ac:dyDescent="0.35">
      <c r="A132" t="s">
        <v>45</v>
      </c>
      <c r="B132" t="s">
        <v>372</v>
      </c>
      <c r="F132" s="4"/>
      <c r="G132" s="12" t="s">
        <v>24</v>
      </c>
      <c r="H132" s="18">
        <v>2024</v>
      </c>
      <c r="I132" s="37"/>
      <c r="J132" s="4"/>
      <c r="K132" s="4"/>
      <c r="L132" s="4" t="s">
        <v>268</v>
      </c>
      <c r="M132" s="4" t="s">
        <v>269</v>
      </c>
      <c r="N132" s="4" t="s">
        <v>101</v>
      </c>
      <c r="O132" s="4" t="s">
        <v>274</v>
      </c>
      <c r="P132" s="4" t="s">
        <v>60</v>
      </c>
      <c r="Q132" s="4" t="s">
        <v>192</v>
      </c>
      <c r="S132" s="4"/>
      <c r="T132" s="4">
        <v>0.91</v>
      </c>
      <c r="U132" s="4">
        <v>0.63</v>
      </c>
      <c r="V132" s="4">
        <v>1.32</v>
      </c>
      <c r="W132" s="4">
        <f t="shared" si="7"/>
        <v>1.96</v>
      </c>
      <c r="X132" s="4">
        <f t="shared" si="8"/>
        <v>-9.2201861499139559E-2</v>
      </c>
      <c r="Y132" s="4">
        <f t="shared" si="6"/>
        <v>0.18869061127419343</v>
      </c>
      <c r="Z132" s="4">
        <v>138</v>
      </c>
      <c r="AA132" s="4">
        <v>151</v>
      </c>
      <c r="AB132" s="4"/>
      <c r="AC132" s="4"/>
      <c r="AD132" s="4"/>
      <c r="AE132" s="4"/>
      <c r="AF132" s="4"/>
      <c r="AG132" s="4"/>
    </row>
    <row r="133" spans="1:33" x14ac:dyDescent="0.35">
      <c r="A133" t="s">
        <v>45</v>
      </c>
      <c r="B133" t="s">
        <v>372</v>
      </c>
      <c r="F133" s="4"/>
      <c r="G133" s="12" t="s">
        <v>24</v>
      </c>
      <c r="H133" s="18">
        <v>2024</v>
      </c>
      <c r="I133" s="37"/>
      <c r="J133" s="4"/>
      <c r="K133" s="4"/>
      <c r="L133" s="4" t="s">
        <v>268</v>
      </c>
      <c r="M133" s="4" t="s">
        <v>269</v>
      </c>
      <c r="N133" s="4" t="s">
        <v>101</v>
      </c>
      <c r="O133" s="4" t="s">
        <v>276</v>
      </c>
      <c r="P133" s="4" t="s">
        <v>60</v>
      </c>
      <c r="Q133" s="4" t="s">
        <v>192</v>
      </c>
      <c r="S133" s="4"/>
      <c r="T133" s="4">
        <v>0.69</v>
      </c>
      <c r="U133" s="4">
        <v>0.44</v>
      </c>
      <c r="V133" s="4">
        <v>1.07</v>
      </c>
      <c r="W133" s="4">
        <f t="shared" si="7"/>
        <v>1.96</v>
      </c>
      <c r="X133" s="4">
        <f t="shared" si="8"/>
        <v>-0.37666095179800768</v>
      </c>
      <c r="Y133" s="4">
        <f t="shared" si="6"/>
        <v>0.22669367360807274</v>
      </c>
      <c r="Z133" s="4">
        <v>127</v>
      </c>
      <c r="AA133" s="4">
        <v>115</v>
      </c>
      <c r="AB133" s="4"/>
      <c r="AC133" s="4"/>
      <c r="AD133" s="4"/>
      <c r="AE133" s="4"/>
      <c r="AF133" s="4"/>
      <c r="AG133" s="4"/>
    </row>
    <row r="134" spans="1:33" x14ac:dyDescent="0.35">
      <c r="A134" t="s">
        <v>45</v>
      </c>
      <c r="B134" t="s">
        <v>372</v>
      </c>
      <c r="F134" s="4"/>
      <c r="G134" s="12" t="s">
        <v>24</v>
      </c>
      <c r="H134" s="18">
        <v>2024</v>
      </c>
      <c r="I134" s="37"/>
      <c r="J134" s="4"/>
      <c r="K134" s="4"/>
      <c r="L134" s="4" t="s">
        <v>268</v>
      </c>
      <c r="M134" s="4" t="s">
        <v>269</v>
      </c>
      <c r="N134" s="4" t="s">
        <v>101</v>
      </c>
      <c r="O134" s="4" t="s">
        <v>277</v>
      </c>
      <c r="P134" s="4" t="s">
        <v>60</v>
      </c>
      <c r="Q134" s="4" t="s">
        <v>192</v>
      </c>
      <c r="S134" s="4"/>
      <c r="T134" s="4">
        <v>0.55000000000000004</v>
      </c>
      <c r="U134" s="4">
        <v>0.33</v>
      </c>
      <c r="V134" s="4">
        <v>0.92</v>
      </c>
      <c r="W134" s="4">
        <f t="shared" si="7"/>
        <v>1.96</v>
      </c>
      <c r="X134" s="4">
        <f t="shared" si="8"/>
        <v>-0.59602211673033112</v>
      </c>
      <c r="Y134" s="4">
        <f t="shared" si="6"/>
        <v>0.26155127948534695</v>
      </c>
      <c r="Z134" s="4">
        <v>132</v>
      </c>
      <c r="AA134" s="4">
        <v>134</v>
      </c>
      <c r="AB134" s="4"/>
      <c r="AC134" s="4"/>
      <c r="AD134" s="4"/>
      <c r="AE134" s="4"/>
      <c r="AF134" s="4"/>
      <c r="AG134" s="4"/>
    </row>
    <row r="135" spans="1:33" x14ac:dyDescent="0.35">
      <c r="A135" t="s">
        <v>45</v>
      </c>
      <c r="B135" t="s">
        <v>372</v>
      </c>
      <c r="F135" s="4"/>
      <c r="G135" s="12" t="s">
        <v>24</v>
      </c>
      <c r="H135" s="18">
        <v>2024</v>
      </c>
      <c r="I135" s="37"/>
      <c r="J135" s="4"/>
      <c r="K135" s="4"/>
      <c r="L135" s="4" t="s">
        <v>268</v>
      </c>
      <c r="M135" s="4" t="s">
        <v>269</v>
      </c>
      <c r="N135" s="4" t="s">
        <v>310</v>
      </c>
      <c r="O135" s="4" t="s">
        <v>311</v>
      </c>
      <c r="P135" s="4" t="s">
        <v>60</v>
      </c>
      <c r="Q135" s="4" t="s">
        <v>192</v>
      </c>
      <c r="S135" s="4"/>
      <c r="T135" s="4">
        <v>0.64</v>
      </c>
      <c r="U135" s="4">
        <v>0.37</v>
      </c>
      <c r="V135" s="4">
        <v>1.1100000000000001</v>
      </c>
      <c r="W135" s="4">
        <f t="shared" si="7"/>
        <v>1.96</v>
      </c>
      <c r="X135" s="4">
        <f t="shared" si="8"/>
        <v>-0.44494612900981201</v>
      </c>
      <c r="Y135" s="4">
        <f t="shared" si="6"/>
        <v>0.28025823690513008</v>
      </c>
      <c r="Z135" s="4">
        <v>111</v>
      </c>
      <c r="AA135" s="4">
        <v>124</v>
      </c>
      <c r="AB135" s="4"/>
      <c r="AC135" s="4"/>
      <c r="AD135" s="4"/>
      <c r="AE135" s="4"/>
      <c r="AF135" s="4"/>
      <c r="AG135" s="4"/>
    </row>
    <row r="136" spans="1:33" x14ac:dyDescent="0.35">
      <c r="A136" t="s">
        <v>45</v>
      </c>
      <c r="B136" t="s">
        <v>372</v>
      </c>
      <c r="F136" s="4"/>
      <c r="G136" s="12" t="s">
        <v>24</v>
      </c>
      <c r="H136" s="18">
        <v>2024</v>
      </c>
      <c r="I136" s="37"/>
      <c r="J136" s="4"/>
      <c r="K136" s="4"/>
      <c r="L136" s="4" t="s">
        <v>268</v>
      </c>
      <c r="M136" s="4" t="s">
        <v>269</v>
      </c>
      <c r="N136" s="4" t="s">
        <v>310</v>
      </c>
      <c r="O136" s="4" t="s">
        <v>113</v>
      </c>
      <c r="P136" s="4" t="s">
        <v>60</v>
      </c>
      <c r="Q136" s="4" t="s">
        <v>192</v>
      </c>
      <c r="S136" s="4"/>
      <c r="T136" s="4">
        <v>0.24</v>
      </c>
      <c r="U136" s="4">
        <v>0.03</v>
      </c>
      <c r="V136" s="4">
        <v>2.0299999999999998</v>
      </c>
      <c r="W136" s="4">
        <f t="shared" si="7"/>
        <v>1.96</v>
      </c>
      <c r="X136" s="4">
        <f t="shared" si="8"/>
        <v>-1.399261052133143</v>
      </c>
      <c r="Y136" s="4">
        <f t="shared" si="6"/>
        <v>1.0751514516259384</v>
      </c>
      <c r="Z136" s="4">
        <v>14</v>
      </c>
      <c r="AA136" s="4">
        <v>19</v>
      </c>
      <c r="AB136" s="4"/>
      <c r="AC136" s="4"/>
      <c r="AD136" s="4"/>
      <c r="AE136" s="4"/>
      <c r="AF136" s="4"/>
      <c r="AG136" s="4"/>
    </row>
    <row r="137" spans="1:33" x14ac:dyDescent="0.35">
      <c r="A137" t="s">
        <v>45</v>
      </c>
      <c r="B137" t="s">
        <v>372</v>
      </c>
      <c r="F137" s="4"/>
      <c r="G137" s="12" t="s">
        <v>24</v>
      </c>
      <c r="H137" s="18">
        <v>2024</v>
      </c>
      <c r="I137" s="37"/>
      <c r="J137" s="4"/>
      <c r="K137" s="4"/>
      <c r="L137" s="4" t="s">
        <v>268</v>
      </c>
      <c r="M137" s="4" t="s">
        <v>269</v>
      </c>
      <c r="N137" s="4" t="s">
        <v>310</v>
      </c>
      <c r="O137" s="4" t="s">
        <v>312</v>
      </c>
      <c r="P137" s="4" t="s">
        <v>60</v>
      </c>
      <c r="Q137" s="4" t="s">
        <v>192</v>
      </c>
      <c r="S137" s="4"/>
      <c r="T137" s="4">
        <v>0.75</v>
      </c>
      <c r="U137" s="4">
        <v>0.56000000000000005</v>
      </c>
      <c r="V137" s="4">
        <v>0.99</v>
      </c>
      <c r="W137" s="4">
        <f t="shared" si="7"/>
        <v>1.96</v>
      </c>
      <c r="X137" s="4">
        <f t="shared" si="8"/>
        <v>-0.29493441555322175</v>
      </c>
      <c r="Y137" s="4">
        <f t="shared" si="6"/>
        <v>0.14534902025495933</v>
      </c>
      <c r="Z137" s="4">
        <v>272</v>
      </c>
      <c r="AA137" s="4">
        <v>257</v>
      </c>
      <c r="AB137" s="4"/>
      <c r="AC137" s="4"/>
      <c r="AD137" s="4"/>
      <c r="AE137" s="4"/>
      <c r="AF137" s="4"/>
      <c r="AG137" s="4"/>
    </row>
    <row r="138" spans="1:33" x14ac:dyDescent="0.35">
      <c r="A138" t="s">
        <v>45</v>
      </c>
      <c r="B138" t="s">
        <v>372</v>
      </c>
      <c r="F138" s="4"/>
      <c r="G138" s="12" t="s">
        <v>24</v>
      </c>
      <c r="H138" s="18">
        <v>2024</v>
      </c>
      <c r="I138" s="37"/>
      <c r="J138" s="4"/>
      <c r="K138" s="4"/>
      <c r="L138" s="4" t="s">
        <v>268</v>
      </c>
      <c r="M138" s="4" t="s">
        <v>269</v>
      </c>
      <c r="N138" s="4" t="s">
        <v>313</v>
      </c>
      <c r="O138" s="4" t="s">
        <v>311</v>
      </c>
      <c r="P138" s="4" t="s">
        <v>60</v>
      </c>
      <c r="Q138" s="4" t="s">
        <v>192</v>
      </c>
      <c r="S138" s="4"/>
      <c r="T138" s="4">
        <v>0.7</v>
      </c>
      <c r="U138" s="4">
        <v>0.41</v>
      </c>
      <c r="V138" s="4">
        <v>1.18</v>
      </c>
      <c r="W138" s="4">
        <f t="shared" si="7"/>
        <v>1.96</v>
      </c>
      <c r="X138" s="4">
        <f t="shared" si="8"/>
        <v>-0.36304184040310516</v>
      </c>
      <c r="Y138" s="4">
        <f t="shared" si="6"/>
        <v>0.269671570857489</v>
      </c>
      <c r="Z138" s="4">
        <v>104</v>
      </c>
      <c r="AA138" s="4">
        <v>132</v>
      </c>
      <c r="AB138" s="4"/>
      <c r="AC138" s="4"/>
      <c r="AD138" s="4"/>
      <c r="AE138" s="4"/>
      <c r="AF138" s="4"/>
      <c r="AG138" s="4"/>
    </row>
    <row r="139" spans="1:33" x14ac:dyDescent="0.35">
      <c r="A139" t="s">
        <v>45</v>
      </c>
      <c r="B139" t="s">
        <v>372</v>
      </c>
      <c r="F139" s="4"/>
      <c r="G139" s="12" t="s">
        <v>24</v>
      </c>
      <c r="H139" s="18">
        <v>2024</v>
      </c>
      <c r="I139" s="37"/>
      <c r="J139" s="4"/>
      <c r="K139" s="4"/>
      <c r="L139" s="4" t="s">
        <v>268</v>
      </c>
      <c r="M139" s="4" t="s">
        <v>269</v>
      </c>
      <c r="N139" s="4" t="s">
        <v>313</v>
      </c>
      <c r="O139" s="4" t="s">
        <v>312</v>
      </c>
      <c r="P139" s="4" t="s">
        <v>60</v>
      </c>
      <c r="Q139" s="4" t="s">
        <v>192</v>
      </c>
      <c r="S139" s="4"/>
      <c r="T139" s="4">
        <v>0.72</v>
      </c>
      <c r="U139" s="4">
        <v>0.54</v>
      </c>
      <c r="V139" s="4">
        <v>0.96</v>
      </c>
      <c r="W139" s="4">
        <f t="shared" si="7"/>
        <v>1.96</v>
      </c>
      <c r="X139" s="4">
        <f t="shared" si="8"/>
        <v>-0.32850406697203605</v>
      </c>
      <c r="Y139" s="4">
        <f t="shared" si="6"/>
        <v>0.14677656757743923</v>
      </c>
      <c r="Z139" s="4">
        <v>281</v>
      </c>
      <c r="AA139" s="4">
        <v>259</v>
      </c>
      <c r="AB139" s="4"/>
      <c r="AC139" s="4"/>
      <c r="AD139" s="4"/>
      <c r="AE139" s="4"/>
      <c r="AF139" s="4"/>
      <c r="AG139" s="4"/>
    </row>
    <row r="140" spans="1:33" x14ac:dyDescent="0.35">
      <c r="A140" t="s">
        <v>45</v>
      </c>
      <c r="B140" t="s">
        <v>333</v>
      </c>
      <c r="F140" s="4"/>
      <c r="G140" s="12" t="s">
        <v>24</v>
      </c>
      <c r="H140" s="18">
        <v>2024</v>
      </c>
      <c r="I140" s="37" t="s">
        <v>311</v>
      </c>
      <c r="J140" s="4"/>
      <c r="K140" s="4">
        <v>36</v>
      </c>
      <c r="L140" s="4" t="s">
        <v>268</v>
      </c>
      <c r="M140" s="4" t="s">
        <v>279</v>
      </c>
      <c r="N140" s="4" t="s">
        <v>37</v>
      </c>
      <c r="O140" s="4" t="s">
        <v>37</v>
      </c>
      <c r="P140" s="4" t="s">
        <v>60</v>
      </c>
      <c r="Q140" s="4" t="s">
        <v>192</v>
      </c>
      <c r="S140" s="4">
        <v>95</v>
      </c>
      <c r="T140" s="4">
        <v>0.59</v>
      </c>
      <c r="U140" s="4">
        <v>0.48</v>
      </c>
      <c r="V140" s="4">
        <v>0.72</v>
      </c>
      <c r="W140" s="4">
        <f t="shared" si="7"/>
        <v>1.9599639845400536</v>
      </c>
      <c r="X140" s="4">
        <f t="shared" si="8"/>
        <v>-0.53123662102611824</v>
      </c>
      <c r="Y140" s="4">
        <f t="shared" si="6"/>
        <v>0.10343687723509755</v>
      </c>
      <c r="Z140" s="4">
        <v>397</v>
      </c>
      <c r="AA140" s="4">
        <v>400</v>
      </c>
      <c r="AB140" s="4"/>
      <c r="AC140" s="4"/>
      <c r="AD140" s="4"/>
      <c r="AE140" s="4"/>
      <c r="AF140" s="4"/>
      <c r="AG140" s="4"/>
    </row>
    <row r="141" spans="1:33" x14ac:dyDescent="0.35">
      <c r="A141" t="s">
        <v>45</v>
      </c>
      <c r="B141" t="s">
        <v>372</v>
      </c>
      <c r="F141" s="4"/>
      <c r="G141" s="12" t="s">
        <v>24</v>
      </c>
      <c r="H141" s="18">
        <v>2024</v>
      </c>
      <c r="I141" s="37"/>
      <c r="J141" s="4"/>
      <c r="K141" s="4"/>
      <c r="L141" s="4" t="s">
        <v>268</v>
      </c>
      <c r="M141" s="4" t="s">
        <v>279</v>
      </c>
      <c r="N141" s="4" t="s">
        <v>280</v>
      </c>
      <c r="O141" s="4" t="s">
        <v>230</v>
      </c>
      <c r="P141" s="4" t="s">
        <v>60</v>
      </c>
      <c r="Q141" s="4" t="s">
        <v>192</v>
      </c>
      <c r="S141" s="4"/>
      <c r="T141" s="4">
        <v>0.51</v>
      </c>
      <c r="U141" s="4">
        <v>0.39</v>
      </c>
      <c r="V141" s="4">
        <v>0.67</v>
      </c>
      <c r="W141" s="4">
        <f t="shared" si="7"/>
        <v>1.96</v>
      </c>
      <c r="X141" s="4">
        <f t="shared" si="8"/>
        <v>-0.67104305322778512</v>
      </c>
      <c r="Y141" s="4">
        <f t="shared" si="6"/>
        <v>0.13804361562788767</v>
      </c>
      <c r="Z141" s="4">
        <v>221</v>
      </c>
      <c r="AA141" s="4">
        <v>214</v>
      </c>
      <c r="AB141" s="4"/>
      <c r="AC141" s="4"/>
      <c r="AD141" s="4"/>
      <c r="AE141" s="4"/>
      <c r="AF141" s="4"/>
      <c r="AG141" s="4"/>
    </row>
    <row r="142" spans="1:33" x14ac:dyDescent="0.35">
      <c r="A142" t="s">
        <v>45</v>
      </c>
      <c r="B142" t="s">
        <v>372</v>
      </c>
      <c r="F142" s="4"/>
      <c r="G142" s="12" t="s">
        <v>24</v>
      </c>
      <c r="H142" s="18">
        <v>2024</v>
      </c>
      <c r="I142" s="37"/>
      <c r="J142" s="4"/>
      <c r="K142" s="4"/>
      <c r="L142" s="4" t="s">
        <v>268</v>
      </c>
      <c r="M142" s="4" t="s">
        <v>279</v>
      </c>
      <c r="N142" s="4" t="s">
        <v>280</v>
      </c>
      <c r="O142" s="4" t="s">
        <v>56</v>
      </c>
      <c r="P142" s="4" t="s">
        <v>60</v>
      </c>
      <c r="Q142" s="4" t="s">
        <v>192</v>
      </c>
      <c r="S142" s="4"/>
      <c r="T142" s="4">
        <v>0.7</v>
      </c>
      <c r="U142" s="4">
        <v>0.52</v>
      </c>
      <c r="V142" s="4">
        <v>0.92</v>
      </c>
      <c r="W142" s="4">
        <f t="shared" si="7"/>
        <v>1.96</v>
      </c>
      <c r="X142" s="4">
        <f t="shared" si="8"/>
        <v>-0.36865403817285747</v>
      </c>
      <c r="Y142" s="4">
        <f t="shared" si="6"/>
        <v>0.14554715777235025</v>
      </c>
      <c r="Z142" s="4">
        <v>176</v>
      </c>
      <c r="AA142" s="4">
        <v>186</v>
      </c>
      <c r="AB142" s="4"/>
      <c r="AC142" s="4"/>
      <c r="AD142" s="4"/>
      <c r="AE142" s="4"/>
      <c r="AF142" s="4"/>
      <c r="AG142" s="4"/>
    </row>
    <row r="143" spans="1:33" x14ac:dyDescent="0.35">
      <c r="A143" t="s">
        <v>45</v>
      </c>
      <c r="B143" t="s">
        <v>372</v>
      </c>
      <c r="F143" s="4"/>
      <c r="G143" s="12" t="s">
        <v>24</v>
      </c>
      <c r="H143" s="18">
        <v>2024</v>
      </c>
      <c r="I143" s="37"/>
      <c r="J143" s="4"/>
      <c r="K143" s="4"/>
      <c r="L143" s="4" t="s">
        <v>268</v>
      </c>
      <c r="M143" s="4" t="s">
        <v>279</v>
      </c>
      <c r="N143" s="4" t="s">
        <v>58</v>
      </c>
      <c r="O143" s="4" t="s">
        <v>59</v>
      </c>
      <c r="P143" s="4" t="s">
        <v>60</v>
      </c>
      <c r="Q143" s="4" t="s">
        <v>192</v>
      </c>
      <c r="S143" s="4"/>
      <c r="T143" s="4">
        <v>0.52</v>
      </c>
      <c r="U143" s="4">
        <v>0.36</v>
      </c>
      <c r="V143" s="4">
        <v>0.75</v>
      </c>
      <c r="W143" s="4">
        <f t="shared" si="7"/>
        <v>1.96</v>
      </c>
      <c r="X143" s="4">
        <f t="shared" si="8"/>
        <v>-0.65466665999188112</v>
      </c>
      <c r="Y143" s="4">
        <f t="shared" si="6"/>
        <v>0.18723703445923484</v>
      </c>
      <c r="Z143" s="4">
        <v>118</v>
      </c>
      <c r="AA143" s="4">
        <v>116</v>
      </c>
      <c r="AB143" s="4"/>
      <c r="AC143" s="4"/>
      <c r="AD143" s="4"/>
      <c r="AE143" s="4"/>
      <c r="AF143" s="4"/>
      <c r="AG143" s="4"/>
    </row>
    <row r="144" spans="1:33" x14ac:dyDescent="0.35">
      <c r="A144" t="s">
        <v>45</v>
      </c>
      <c r="B144" t="s">
        <v>372</v>
      </c>
      <c r="F144" s="4"/>
      <c r="G144" s="12" t="s">
        <v>24</v>
      </c>
      <c r="H144" s="18">
        <v>2024</v>
      </c>
      <c r="I144" s="37"/>
      <c r="J144" s="4"/>
      <c r="K144" s="4"/>
      <c r="L144" s="4" t="s">
        <v>268</v>
      </c>
      <c r="M144" s="4" t="s">
        <v>279</v>
      </c>
      <c r="N144" s="4" t="s">
        <v>58</v>
      </c>
      <c r="O144" s="4" t="s">
        <v>63</v>
      </c>
      <c r="P144" s="4" t="s">
        <v>60</v>
      </c>
      <c r="Q144" s="4" t="s">
        <v>192</v>
      </c>
      <c r="S144" s="4"/>
      <c r="T144" s="4">
        <v>0.62</v>
      </c>
      <c r="U144" s="4">
        <v>0.49</v>
      </c>
      <c r="V144" s="4">
        <v>0.78</v>
      </c>
      <c r="W144" s="4">
        <f t="shared" si="7"/>
        <v>1.96</v>
      </c>
      <c r="X144" s="4">
        <f t="shared" si="8"/>
        <v>-0.48090562358798217</v>
      </c>
      <c r="Y144" s="4">
        <f t="shared" si="6"/>
        <v>0.11859401239259316</v>
      </c>
      <c r="Z144" s="4">
        <v>279</v>
      </c>
      <c r="AA144" s="4">
        <v>284</v>
      </c>
      <c r="AB144" s="4"/>
      <c r="AC144" s="4"/>
      <c r="AD144" s="4"/>
      <c r="AE144" s="4"/>
      <c r="AF144" s="4"/>
      <c r="AG144" s="4"/>
    </row>
    <row r="145" spans="1:33" x14ac:dyDescent="0.35">
      <c r="A145" t="s">
        <v>45</v>
      </c>
      <c r="B145" t="s">
        <v>372</v>
      </c>
      <c r="F145" s="4"/>
      <c r="G145" s="12" t="s">
        <v>24</v>
      </c>
      <c r="H145" s="18">
        <v>2024</v>
      </c>
      <c r="I145" s="37"/>
      <c r="J145" s="4"/>
      <c r="K145" s="4"/>
      <c r="L145" s="4" t="s">
        <v>268</v>
      </c>
      <c r="M145" s="4" t="s">
        <v>279</v>
      </c>
      <c r="N145" s="4" t="s">
        <v>65</v>
      </c>
      <c r="O145" s="4" t="s">
        <v>272</v>
      </c>
      <c r="P145" s="4" t="s">
        <v>60</v>
      </c>
      <c r="Q145" s="4" t="s">
        <v>192</v>
      </c>
      <c r="S145" s="4"/>
      <c r="T145" s="4">
        <v>0.56000000000000005</v>
      </c>
      <c r="U145" s="4">
        <v>0.44</v>
      </c>
      <c r="V145" s="4">
        <v>0.72</v>
      </c>
      <c r="W145" s="4">
        <f t="shared" si="7"/>
        <v>1.96</v>
      </c>
      <c r="X145" s="4">
        <f t="shared" si="8"/>
        <v>-0.57474230952093319</v>
      </c>
      <c r="Y145" s="4">
        <f t="shared" si="6"/>
        <v>0.12563175640249849</v>
      </c>
      <c r="Z145" s="4">
        <v>250</v>
      </c>
      <c r="AA145" s="4">
        <v>239</v>
      </c>
      <c r="AB145" s="4"/>
      <c r="AC145" s="4"/>
      <c r="AD145" s="4"/>
      <c r="AE145" s="4"/>
      <c r="AF145" s="4"/>
      <c r="AG145" s="4"/>
    </row>
    <row r="146" spans="1:33" x14ac:dyDescent="0.35">
      <c r="A146" t="s">
        <v>45</v>
      </c>
      <c r="B146" t="s">
        <v>372</v>
      </c>
      <c r="F146" s="4"/>
      <c r="G146" s="12" t="s">
        <v>24</v>
      </c>
      <c r="H146" s="18">
        <v>2024</v>
      </c>
      <c r="I146" s="37"/>
      <c r="J146" s="4"/>
      <c r="K146" s="4"/>
      <c r="L146" s="4" t="s">
        <v>268</v>
      </c>
      <c r="M146" s="4" t="s">
        <v>279</v>
      </c>
      <c r="N146" s="4" t="s">
        <v>65</v>
      </c>
      <c r="O146" s="4" t="s">
        <v>294</v>
      </c>
      <c r="P146" s="4" t="s">
        <v>60</v>
      </c>
      <c r="Q146" s="4" t="s">
        <v>192</v>
      </c>
      <c r="S146" s="4"/>
      <c r="T146" s="4">
        <v>0.63</v>
      </c>
      <c r="U146" s="4">
        <v>0.45</v>
      </c>
      <c r="V146" s="4">
        <v>0.88</v>
      </c>
      <c r="W146" s="4">
        <f t="shared" si="7"/>
        <v>1.96</v>
      </c>
      <c r="X146" s="4">
        <f t="shared" si="8"/>
        <v>-0.46317053386382823</v>
      </c>
      <c r="Y146" s="4">
        <f t="shared" si="6"/>
        <v>0.17109038895609358</v>
      </c>
      <c r="Z146" s="4">
        <v>134</v>
      </c>
      <c r="AA146" s="4">
        <v>145</v>
      </c>
      <c r="AB146" s="4"/>
      <c r="AC146" s="4"/>
      <c r="AD146" s="4"/>
      <c r="AE146" s="4"/>
      <c r="AF146" s="4"/>
      <c r="AG146" s="4"/>
    </row>
    <row r="147" spans="1:33" x14ac:dyDescent="0.35">
      <c r="A147" t="s">
        <v>45</v>
      </c>
      <c r="B147" t="s">
        <v>372</v>
      </c>
      <c r="F147" s="4"/>
      <c r="G147" s="12" t="s">
        <v>24</v>
      </c>
      <c r="H147" s="18">
        <v>2024</v>
      </c>
      <c r="I147" s="37"/>
      <c r="J147" s="4"/>
      <c r="K147" s="4"/>
      <c r="L147" s="4" t="s">
        <v>268</v>
      </c>
      <c r="M147" s="4" t="s">
        <v>279</v>
      </c>
      <c r="N147" s="4" t="s">
        <v>295</v>
      </c>
      <c r="O147" s="4" t="s">
        <v>296</v>
      </c>
      <c r="P147" s="4" t="s">
        <v>60</v>
      </c>
      <c r="Q147" s="4" t="s">
        <v>192</v>
      </c>
      <c r="S147" s="4"/>
      <c r="T147" s="4">
        <v>0.63</v>
      </c>
      <c r="U147" s="4">
        <v>0.44</v>
      </c>
      <c r="V147" s="4">
        <v>0.91</v>
      </c>
      <c r="W147" s="4">
        <f t="shared" si="7"/>
        <v>1.96</v>
      </c>
      <c r="X147" s="4">
        <f t="shared" si="8"/>
        <v>-0.45764561577053575</v>
      </c>
      <c r="Y147" s="4">
        <f t="shared" si="6"/>
        <v>0.18537496749964005</v>
      </c>
      <c r="Z147" s="4">
        <v>123</v>
      </c>
      <c r="AA147" s="4">
        <v>121</v>
      </c>
      <c r="AB147" s="4"/>
      <c r="AC147" s="4"/>
      <c r="AD147" s="4"/>
      <c r="AE147" s="4"/>
      <c r="AF147" s="4"/>
      <c r="AG147" s="4"/>
    </row>
    <row r="148" spans="1:33" x14ac:dyDescent="0.35">
      <c r="A148" t="s">
        <v>45</v>
      </c>
      <c r="B148" t="s">
        <v>372</v>
      </c>
      <c r="F148" s="4"/>
      <c r="G148" s="12" t="s">
        <v>24</v>
      </c>
      <c r="H148" s="18">
        <v>2024</v>
      </c>
      <c r="I148" s="37"/>
      <c r="J148" s="4"/>
      <c r="K148" s="4"/>
      <c r="L148" s="4" t="s">
        <v>268</v>
      </c>
      <c r="M148" s="4" t="s">
        <v>279</v>
      </c>
      <c r="N148" s="4" t="s">
        <v>295</v>
      </c>
      <c r="O148" s="4" t="s">
        <v>297</v>
      </c>
      <c r="P148" s="4" t="s">
        <v>60</v>
      </c>
      <c r="Q148" s="4" t="s">
        <v>192</v>
      </c>
      <c r="S148" s="4"/>
      <c r="T148" s="4">
        <v>0.56999999999999995</v>
      </c>
      <c r="U148" s="4">
        <v>0.45</v>
      </c>
      <c r="V148" s="4">
        <v>0.72</v>
      </c>
      <c r="W148" s="4">
        <f t="shared" si="7"/>
        <v>1.96</v>
      </c>
      <c r="X148" s="4">
        <f t="shared" si="8"/>
        <v>-0.56350588159490389</v>
      </c>
      <c r="Y148" s="4">
        <f t="shared" si="6"/>
        <v>0.11989888501166723</v>
      </c>
      <c r="Z148" s="4">
        <v>274</v>
      </c>
      <c r="AA148" s="4">
        <v>279</v>
      </c>
      <c r="AB148" s="4"/>
      <c r="AC148" s="4"/>
      <c r="AD148" s="4"/>
      <c r="AE148" s="4"/>
      <c r="AF148" s="4"/>
      <c r="AG148" s="4"/>
    </row>
    <row r="149" spans="1:33" x14ac:dyDescent="0.35">
      <c r="A149" t="s">
        <v>45</v>
      </c>
      <c r="B149" t="s">
        <v>372</v>
      </c>
      <c r="F149" s="4"/>
      <c r="G149" s="12" t="s">
        <v>24</v>
      </c>
      <c r="H149" s="18">
        <v>2024</v>
      </c>
      <c r="I149" s="37"/>
      <c r="J149" s="4"/>
      <c r="K149" s="4"/>
      <c r="L149" s="4" t="s">
        <v>268</v>
      </c>
      <c r="M149" s="4" t="s">
        <v>279</v>
      </c>
      <c r="N149" s="4" t="s">
        <v>73</v>
      </c>
      <c r="O149" s="4" t="s">
        <v>298</v>
      </c>
      <c r="P149" s="4" t="s">
        <v>60</v>
      </c>
      <c r="Q149" s="4" t="s">
        <v>192</v>
      </c>
      <c r="S149" s="4"/>
      <c r="T149" s="4">
        <v>0.53</v>
      </c>
      <c r="U149" s="4">
        <v>0.36</v>
      </c>
      <c r="V149" s="4">
        <v>0.77</v>
      </c>
      <c r="W149" s="4">
        <f t="shared" si="7"/>
        <v>1.96</v>
      </c>
      <c r="X149" s="4">
        <f t="shared" si="8"/>
        <v>-0.64150800583319445</v>
      </c>
      <c r="Y149" s="4">
        <f t="shared" si="6"/>
        <v>0.19395063351978928</v>
      </c>
      <c r="Z149" s="4">
        <v>96</v>
      </c>
      <c r="AA149" s="4">
        <v>103</v>
      </c>
      <c r="AB149" s="4"/>
      <c r="AC149" s="4"/>
      <c r="AD149" s="4"/>
      <c r="AE149" s="4"/>
      <c r="AF149" s="4"/>
      <c r="AG149" s="4"/>
    </row>
    <row r="150" spans="1:33" x14ac:dyDescent="0.35">
      <c r="A150" t="s">
        <v>45</v>
      </c>
      <c r="B150" t="s">
        <v>372</v>
      </c>
      <c r="F150" s="4"/>
      <c r="G150" s="12" t="s">
        <v>24</v>
      </c>
      <c r="H150" s="18">
        <v>2024</v>
      </c>
      <c r="I150" s="37"/>
      <c r="J150" s="4"/>
      <c r="K150" s="4"/>
      <c r="L150" s="4" t="s">
        <v>268</v>
      </c>
      <c r="M150" s="4" t="s">
        <v>279</v>
      </c>
      <c r="N150" s="4" t="s">
        <v>73</v>
      </c>
      <c r="O150" s="4" t="s">
        <v>299</v>
      </c>
      <c r="P150" s="4" t="s">
        <v>60</v>
      </c>
      <c r="Q150" s="4" t="s">
        <v>192</v>
      </c>
      <c r="S150" s="4"/>
      <c r="T150" s="4">
        <v>0.59</v>
      </c>
      <c r="U150" s="4">
        <v>0.46</v>
      </c>
      <c r="V150" s="4">
        <v>0.75</v>
      </c>
      <c r="W150" s="4">
        <f t="shared" si="7"/>
        <v>1.96</v>
      </c>
      <c r="X150" s="4">
        <f t="shared" si="8"/>
        <v>-0.53210543097538854</v>
      </c>
      <c r="Y150" s="4">
        <f t="shared" si="6"/>
        <v>0.12470579516510596</v>
      </c>
      <c r="Z150" s="4">
        <v>247</v>
      </c>
      <c r="AA150" s="4">
        <v>250</v>
      </c>
      <c r="AB150" s="4"/>
      <c r="AC150" s="4"/>
      <c r="AD150" s="4"/>
      <c r="AE150" s="4"/>
      <c r="AF150" s="4"/>
      <c r="AG150" s="4"/>
    </row>
    <row r="151" spans="1:33" x14ac:dyDescent="0.35">
      <c r="A151" t="s">
        <v>45</v>
      </c>
      <c r="B151" t="s">
        <v>372</v>
      </c>
      <c r="F151" s="4"/>
      <c r="G151" s="12" t="s">
        <v>24</v>
      </c>
      <c r="H151" s="18">
        <v>2024</v>
      </c>
      <c r="I151" s="37"/>
      <c r="J151" s="4"/>
      <c r="K151" s="4"/>
      <c r="L151" s="4" t="s">
        <v>268</v>
      </c>
      <c r="M151" s="4" t="s">
        <v>279</v>
      </c>
      <c r="N151" s="4" t="s">
        <v>73</v>
      </c>
      <c r="O151" s="4" t="s">
        <v>300</v>
      </c>
      <c r="P151" s="4" t="s">
        <v>60</v>
      </c>
      <c r="Q151" s="4" t="s">
        <v>192</v>
      </c>
      <c r="S151" s="4"/>
      <c r="T151" s="4">
        <v>0.77</v>
      </c>
      <c r="U151" s="4">
        <v>0.44</v>
      </c>
      <c r="V151" s="4">
        <v>1.35</v>
      </c>
      <c r="W151" s="4">
        <f t="shared" si="7"/>
        <v>1.96</v>
      </c>
      <c r="X151" s="4">
        <f t="shared" si="8"/>
        <v>-0.26043797980974603</v>
      </c>
      <c r="Y151" s="4">
        <f t="shared" si="6"/>
        <v>0.2859911082959613</v>
      </c>
      <c r="Z151" s="4">
        <v>54</v>
      </c>
      <c r="AA151" s="4">
        <v>47</v>
      </c>
      <c r="AB151" s="4"/>
      <c r="AC151" s="4"/>
      <c r="AD151" s="4"/>
      <c r="AE151" s="4"/>
      <c r="AF151" s="4"/>
      <c r="AG151" s="4"/>
    </row>
    <row r="152" spans="1:33" x14ac:dyDescent="0.35">
      <c r="A152" t="s">
        <v>45</v>
      </c>
      <c r="B152" t="s">
        <v>372</v>
      </c>
      <c r="F152" s="4"/>
      <c r="G152" s="12" t="s">
        <v>24</v>
      </c>
      <c r="H152" s="18">
        <v>2024</v>
      </c>
      <c r="I152" s="37"/>
      <c r="J152" s="4"/>
      <c r="K152" s="4"/>
      <c r="L152" s="4" t="s">
        <v>268</v>
      </c>
      <c r="M152" s="4" t="s">
        <v>279</v>
      </c>
      <c r="N152" s="4" t="s">
        <v>301</v>
      </c>
      <c r="O152" s="4" t="s">
        <v>286</v>
      </c>
      <c r="P152" s="4" t="s">
        <v>60</v>
      </c>
      <c r="Q152" s="4" t="s">
        <v>192</v>
      </c>
      <c r="S152" s="4"/>
      <c r="T152" s="4">
        <v>0.57999999999999996</v>
      </c>
      <c r="U152" s="4">
        <v>0.41</v>
      </c>
      <c r="V152" s="4">
        <v>0.8</v>
      </c>
      <c r="W152" s="4">
        <f t="shared" si="7"/>
        <v>1.96</v>
      </c>
      <c r="X152" s="4">
        <f t="shared" si="8"/>
        <v>-0.55737083529899667</v>
      </c>
      <c r="Y152" s="4">
        <f t="shared" si="6"/>
        <v>0.17052412448203416</v>
      </c>
      <c r="Z152" s="4">
        <v>148</v>
      </c>
      <c r="AA152" s="4">
        <v>142</v>
      </c>
      <c r="AB152" s="4"/>
      <c r="AC152" s="4"/>
      <c r="AD152" s="4"/>
      <c r="AE152" s="4"/>
      <c r="AF152" s="4"/>
      <c r="AG152" s="4"/>
    </row>
    <row r="153" spans="1:33" x14ac:dyDescent="0.35">
      <c r="A153" t="s">
        <v>45</v>
      </c>
      <c r="B153" t="s">
        <v>372</v>
      </c>
      <c r="F153" s="4"/>
      <c r="G153" s="12" t="s">
        <v>24</v>
      </c>
      <c r="H153" s="18">
        <v>2024</v>
      </c>
      <c r="I153" s="37"/>
      <c r="J153" s="4"/>
      <c r="K153" s="4"/>
      <c r="L153" s="4" t="s">
        <v>268</v>
      </c>
      <c r="M153" s="4" t="s">
        <v>279</v>
      </c>
      <c r="N153" s="4" t="s">
        <v>301</v>
      </c>
      <c r="O153" s="4" t="s">
        <v>287</v>
      </c>
      <c r="P153" s="4" t="s">
        <v>60</v>
      </c>
      <c r="Q153" s="4" t="s">
        <v>192</v>
      </c>
      <c r="S153" s="4"/>
      <c r="T153" s="4">
        <v>0.56000000000000005</v>
      </c>
      <c r="U153" s="4">
        <v>0.35</v>
      </c>
      <c r="V153" s="4">
        <v>0.91</v>
      </c>
      <c r="W153" s="4">
        <f t="shared" si="7"/>
        <v>1.96</v>
      </c>
      <c r="X153" s="4">
        <f t="shared" si="8"/>
        <v>-0.57206640198495962</v>
      </c>
      <c r="Y153" s="4">
        <f t="shared" si="6"/>
        <v>0.24375291964985626</v>
      </c>
      <c r="Z153" s="4">
        <v>81</v>
      </c>
      <c r="AA153" s="4">
        <v>71</v>
      </c>
      <c r="AB153" s="4"/>
      <c r="AC153" s="4"/>
      <c r="AD153" s="4"/>
      <c r="AE153" s="4"/>
      <c r="AF153" s="4"/>
      <c r="AG153" s="4"/>
    </row>
    <row r="154" spans="1:33" x14ac:dyDescent="0.35">
      <c r="A154" t="s">
        <v>45</v>
      </c>
      <c r="B154" t="s">
        <v>372</v>
      </c>
      <c r="F154" s="4"/>
      <c r="G154" s="12" t="s">
        <v>24</v>
      </c>
      <c r="H154" s="18">
        <v>2024</v>
      </c>
      <c r="I154" s="37"/>
      <c r="J154" s="4"/>
      <c r="K154" s="4"/>
      <c r="L154" s="4" t="s">
        <v>268</v>
      </c>
      <c r="M154" s="4" t="s">
        <v>279</v>
      </c>
      <c r="N154" s="4" t="s">
        <v>301</v>
      </c>
      <c r="O154" s="4" t="s">
        <v>220</v>
      </c>
      <c r="P154" s="4" t="s">
        <v>60</v>
      </c>
      <c r="Q154" s="4" t="s">
        <v>192</v>
      </c>
      <c r="S154" s="4"/>
      <c r="T154" s="4">
        <v>0.63</v>
      </c>
      <c r="U154" s="4">
        <v>0.48</v>
      </c>
      <c r="V154" s="4">
        <v>0.82</v>
      </c>
      <c r="W154" s="4">
        <f t="shared" si="7"/>
        <v>1.96</v>
      </c>
      <c r="X154" s="4">
        <f t="shared" si="8"/>
        <v>-0.46621005690201939</v>
      </c>
      <c r="Y154" s="4">
        <f t="shared" si="6"/>
        <v>0.13661179498886789</v>
      </c>
      <c r="Z154" s="4">
        <v>168</v>
      </c>
      <c r="AA154" s="4">
        <v>187</v>
      </c>
      <c r="AB154" s="4"/>
      <c r="AC154" s="4"/>
      <c r="AD154" s="4"/>
      <c r="AE154" s="4"/>
      <c r="AF154" s="4"/>
      <c r="AG154" s="4"/>
    </row>
    <row r="155" spans="1:33" x14ac:dyDescent="0.35">
      <c r="A155" t="s">
        <v>45</v>
      </c>
      <c r="B155" t="s">
        <v>372</v>
      </c>
      <c r="F155" s="4"/>
      <c r="G155" s="12" t="s">
        <v>24</v>
      </c>
      <c r="H155" s="18">
        <v>2024</v>
      </c>
      <c r="I155" s="37"/>
      <c r="J155" s="4"/>
      <c r="K155" s="4"/>
      <c r="L155" s="4" t="s">
        <v>268</v>
      </c>
      <c r="M155" s="4" t="s">
        <v>279</v>
      </c>
      <c r="N155" s="4" t="s">
        <v>77</v>
      </c>
      <c r="O155" s="4" t="s">
        <v>83</v>
      </c>
      <c r="P155" s="4" t="s">
        <v>60</v>
      </c>
      <c r="Q155" s="4" t="s">
        <v>192</v>
      </c>
      <c r="S155" s="4"/>
      <c r="T155" s="4">
        <v>0.59</v>
      </c>
      <c r="U155" s="4">
        <v>0.4</v>
      </c>
      <c r="V155" s="4">
        <v>0.88</v>
      </c>
      <c r="W155" s="4">
        <f t="shared" si="7"/>
        <v>1.96</v>
      </c>
      <c r="X155" s="4">
        <f t="shared" si="8"/>
        <v>-0.52206205169201991</v>
      </c>
      <c r="Y155" s="4">
        <f t="shared" si="6"/>
        <v>0.20113708172557912</v>
      </c>
      <c r="Z155" s="4">
        <v>118</v>
      </c>
      <c r="AA155" s="4">
        <v>121</v>
      </c>
      <c r="AB155" s="4"/>
      <c r="AC155" s="4"/>
      <c r="AD155" s="4"/>
      <c r="AE155" s="4"/>
      <c r="AF155" s="4"/>
      <c r="AG155" s="4"/>
    </row>
    <row r="156" spans="1:33" x14ac:dyDescent="0.35">
      <c r="A156" t="s">
        <v>45</v>
      </c>
      <c r="B156" t="s">
        <v>372</v>
      </c>
      <c r="F156" s="4"/>
      <c r="G156" s="12" t="s">
        <v>24</v>
      </c>
      <c r="H156" s="18">
        <v>2024</v>
      </c>
      <c r="I156" s="37"/>
      <c r="J156" s="4"/>
      <c r="K156" s="4"/>
      <c r="L156" s="4" t="s">
        <v>268</v>
      </c>
      <c r="M156" s="4" t="s">
        <v>279</v>
      </c>
      <c r="N156" s="4" t="s">
        <v>77</v>
      </c>
      <c r="O156" s="4" t="s">
        <v>23</v>
      </c>
      <c r="P156" s="4" t="s">
        <v>60</v>
      </c>
      <c r="Q156" s="4" t="s">
        <v>192</v>
      </c>
      <c r="S156" s="4"/>
      <c r="T156" s="4">
        <v>0.57999999999999996</v>
      </c>
      <c r="U156" s="4">
        <v>0.46</v>
      </c>
      <c r="V156" s="4">
        <v>0.72</v>
      </c>
      <c r="W156" s="4">
        <f t="shared" si="7"/>
        <v>1.96</v>
      </c>
      <c r="X156" s="4">
        <f t="shared" si="8"/>
        <v>-0.55251642823551617</v>
      </c>
      <c r="Y156" s="4">
        <f t="shared" si="6"/>
        <v>0.11429202105279597</v>
      </c>
      <c r="Z156" s="4">
        <v>279</v>
      </c>
      <c r="AA156" s="4">
        <v>279</v>
      </c>
      <c r="AB156" s="4"/>
      <c r="AC156" s="4"/>
      <c r="AD156" s="4"/>
      <c r="AE156" s="4"/>
      <c r="AF156" s="4"/>
      <c r="AG156" s="4"/>
    </row>
    <row r="157" spans="1:33" x14ac:dyDescent="0.35">
      <c r="A157" t="s">
        <v>45</v>
      </c>
      <c r="B157" t="s">
        <v>372</v>
      </c>
      <c r="F157" s="4"/>
      <c r="G157" s="12" t="s">
        <v>24</v>
      </c>
      <c r="H157" s="18">
        <v>2024</v>
      </c>
      <c r="I157" s="37"/>
      <c r="J157" s="4"/>
      <c r="K157" s="4"/>
      <c r="L157" s="4" t="s">
        <v>268</v>
      </c>
      <c r="M157" s="4" t="s">
        <v>279</v>
      </c>
      <c r="N157" s="4" t="s">
        <v>77</v>
      </c>
      <c r="O157" s="4" t="s">
        <v>302</v>
      </c>
      <c r="P157" s="4" t="s">
        <v>60</v>
      </c>
      <c r="Q157" s="4" t="s">
        <v>192</v>
      </c>
      <c r="S157" s="4"/>
      <c r="T157" s="4">
        <v>0.59</v>
      </c>
      <c r="U157" s="4">
        <v>0.22</v>
      </c>
      <c r="V157" s="4">
        <v>1.58</v>
      </c>
      <c r="W157" s="4">
        <f t="shared" si="7"/>
        <v>1.96</v>
      </c>
      <c r="X157" s="4">
        <f t="shared" si="8"/>
        <v>-0.52835144279544999</v>
      </c>
      <c r="Y157" s="4">
        <f t="shared" si="6"/>
        <v>0.50294708665016608</v>
      </c>
      <c r="Z157" s="4">
        <v>22</v>
      </c>
      <c r="AA157" s="4">
        <v>19</v>
      </c>
      <c r="AB157" s="4"/>
      <c r="AC157" s="4"/>
      <c r="AD157" s="4"/>
      <c r="AE157" s="4"/>
      <c r="AF157" s="4"/>
      <c r="AG157" s="4"/>
    </row>
    <row r="158" spans="1:33" x14ac:dyDescent="0.35">
      <c r="A158" t="s">
        <v>45</v>
      </c>
      <c r="B158" t="s">
        <v>372</v>
      </c>
      <c r="F158" s="4"/>
      <c r="G158" s="12" t="s">
        <v>24</v>
      </c>
      <c r="H158" s="18">
        <v>2024</v>
      </c>
      <c r="I158" s="37"/>
      <c r="J158" s="4"/>
      <c r="K158" s="4"/>
      <c r="L158" s="4" t="s">
        <v>268</v>
      </c>
      <c r="M158" s="4" t="s">
        <v>279</v>
      </c>
      <c r="N158" s="4" t="s">
        <v>77</v>
      </c>
      <c r="O158" s="4" t="s">
        <v>303</v>
      </c>
      <c r="P158" s="4" t="s">
        <v>60</v>
      </c>
      <c r="Q158" s="4" t="s">
        <v>192</v>
      </c>
      <c r="S158" s="4"/>
      <c r="T158" s="4">
        <v>0.59</v>
      </c>
      <c r="U158" s="4">
        <v>0.38</v>
      </c>
      <c r="V158" s="4">
        <v>0.92</v>
      </c>
      <c r="W158" s="4">
        <f t="shared" si="7"/>
        <v>1.96</v>
      </c>
      <c r="X158" s="4">
        <f t="shared" si="8"/>
        <v>-0.52548281760037829</v>
      </c>
      <c r="Y158" s="4">
        <f t="shared" si="6"/>
        <v>0.22556184115373842</v>
      </c>
      <c r="Z158" s="4">
        <v>96</v>
      </c>
      <c r="AA158" s="4">
        <v>102</v>
      </c>
      <c r="AB158" s="4"/>
      <c r="AC158" s="4"/>
      <c r="AD158" s="4"/>
      <c r="AE158" s="4"/>
      <c r="AF158" s="4"/>
      <c r="AG158" s="4"/>
    </row>
    <row r="159" spans="1:33" x14ac:dyDescent="0.35">
      <c r="A159" t="s">
        <v>45</v>
      </c>
      <c r="B159" t="s">
        <v>372</v>
      </c>
      <c r="F159" s="4"/>
      <c r="G159" s="12" t="s">
        <v>24</v>
      </c>
      <c r="H159" s="18">
        <v>2024</v>
      </c>
      <c r="I159" s="37"/>
      <c r="J159" s="4"/>
      <c r="K159" s="4"/>
      <c r="L159" s="4" t="s">
        <v>268</v>
      </c>
      <c r="M159" s="4" t="s">
        <v>279</v>
      </c>
      <c r="N159" s="4" t="s">
        <v>77</v>
      </c>
      <c r="O159" s="4" t="s">
        <v>84</v>
      </c>
      <c r="P159" s="4" t="s">
        <v>60</v>
      </c>
      <c r="Q159" s="4" t="s">
        <v>192</v>
      </c>
      <c r="S159" s="4"/>
      <c r="T159" s="4">
        <v>0.56999999999999995</v>
      </c>
      <c r="U159" s="4">
        <v>0.44</v>
      </c>
      <c r="V159" s="4">
        <v>0.74</v>
      </c>
      <c r="W159" s="4">
        <f t="shared" si="7"/>
        <v>1.96</v>
      </c>
      <c r="X159" s="4">
        <f t="shared" si="8"/>
        <v>-0.56104282242687598</v>
      </c>
      <c r="Y159" s="4">
        <f t="shared" si="6"/>
        <v>0.13262129063416037</v>
      </c>
      <c r="Z159" s="4">
        <v>217</v>
      </c>
      <c r="AA159" s="4">
        <v>224</v>
      </c>
      <c r="AB159" s="4"/>
      <c r="AC159" s="4"/>
      <c r="AD159" s="4"/>
      <c r="AE159" s="4"/>
      <c r="AF159" s="4"/>
      <c r="AG159" s="4"/>
    </row>
    <row r="160" spans="1:33" x14ac:dyDescent="0.35">
      <c r="A160" t="s">
        <v>45</v>
      </c>
      <c r="B160" t="s">
        <v>372</v>
      </c>
      <c r="F160" s="4"/>
      <c r="G160" s="12" t="s">
        <v>24</v>
      </c>
      <c r="H160" s="18">
        <v>2024</v>
      </c>
      <c r="I160" s="37"/>
      <c r="J160" s="4"/>
      <c r="K160" s="4"/>
      <c r="L160" s="4" t="s">
        <v>268</v>
      </c>
      <c r="M160" s="4" t="s">
        <v>279</v>
      </c>
      <c r="N160" s="4" t="s">
        <v>77</v>
      </c>
      <c r="O160" s="4" t="s">
        <v>85</v>
      </c>
      <c r="P160" s="4" t="s">
        <v>60</v>
      </c>
      <c r="Q160" s="4" t="s">
        <v>192</v>
      </c>
      <c r="S160" s="4"/>
      <c r="T160" s="4">
        <v>0.56999999999999995</v>
      </c>
      <c r="U160" s="4">
        <v>0.36</v>
      </c>
      <c r="V160" s="4">
        <v>0.9</v>
      </c>
      <c r="W160" s="4">
        <f t="shared" si="7"/>
        <v>1.96</v>
      </c>
      <c r="X160" s="4">
        <f t="shared" si="8"/>
        <v>-0.56350588159490389</v>
      </c>
      <c r="Y160" s="4">
        <f t="shared" si="6"/>
        <v>0.23374763568218243</v>
      </c>
      <c r="Z160" s="4">
        <v>62</v>
      </c>
      <c r="AA160" s="4">
        <v>55</v>
      </c>
      <c r="AB160" s="4"/>
      <c r="AC160" s="4"/>
      <c r="AD160" s="4"/>
      <c r="AE160" s="4"/>
      <c r="AF160" s="4"/>
      <c r="AG160" s="4"/>
    </row>
    <row r="161" spans="1:33" x14ac:dyDescent="0.35">
      <c r="A161" t="s">
        <v>45</v>
      </c>
      <c r="B161" t="s">
        <v>372</v>
      </c>
      <c r="F161" s="4"/>
      <c r="G161" s="12" t="s">
        <v>24</v>
      </c>
      <c r="H161" s="18">
        <v>2024</v>
      </c>
      <c r="I161" s="37"/>
      <c r="J161" s="4"/>
      <c r="K161" s="4"/>
      <c r="L161" s="4" t="s">
        <v>268</v>
      </c>
      <c r="M161" s="4" t="s">
        <v>279</v>
      </c>
      <c r="N161" s="4" t="s">
        <v>304</v>
      </c>
      <c r="O161" s="4" t="s">
        <v>305</v>
      </c>
      <c r="P161" s="4" t="s">
        <v>60</v>
      </c>
      <c r="Q161" s="4" t="s">
        <v>192</v>
      </c>
      <c r="S161" s="4"/>
      <c r="T161" s="4">
        <v>0.63</v>
      </c>
      <c r="U161" s="4">
        <v>0.48</v>
      </c>
      <c r="V161" s="4">
        <v>0.82</v>
      </c>
      <c r="W161" s="4">
        <f t="shared" si="7"/>
        <v>1.96</v>
      </c>
      <c r="X161" s="4">
        <f t="shared" si="8"/>
        <v>-0.46621005690201939</v>
      </c>
      <c r="Y161" s="4">
        <f t="shared" si="6"/>
        <v>0.13661179498886789</v>
      </c>
      <c r="Z161" s="4">
        <v>168</v>
      </c>
      <c r="AA161" s="4">
        <v>187</v>
      </c>
      <c r="AB161" s="4"/>
      <c r="AC161" s="4"/>
      <c r="AD161" s="4"/>
      <c r="AE161" s="4"/>
      <c r="AF161" s="4"/>
      <c r="AG161" s="4"/>
    </row>
    <row r="162" spans="1:33" x14ac:dyDescent="0.35">
      <c r="A162" t="s">
        <v>45</v>
      </c>
      <c r="B162" t="s">
        <v>372</v>
      </c>
      <c r="F162" s="4"/>
      <c r="G162" s="12" t="s">
        <v>24</v>
      </c>
      <c r="H162" s="18">
        <v>2024</v>
      </c>
      <c r="I162" s="37"/>
      <c r="J162" s="4"/>
      <c r="K162" s="4"/>
      <c r="L162" s="4" t="s">
        <v>268</v>
      </c>
      <c r="M162" s="4" t="s">
        <v>279</v>
      </c>
      <c r="N162" s="4" t="s">
        <v>306</v>
      </c>
      <c r="O162" s="4" t="s">
        <v>307</v>
      </c>
      <c r="P162" s="4" t="s">
        <v>60</v>
      </c>
      <c r="Q162" s="4" t="s">
        <v>192</v>
      </c>
      <c r="S162" s="4"/>
      <c r="T162" s="4">
        <v>0.52</v>
      </c>
      <c r="U162" s="4">
        <v>0.35</v>
      </c>
      <c r="V162" s="4">
        <v>0.76</v>
      </c>
      <c r="W162" s="4">
        <f t="shared" si="7"/>
        <v>1.96</v>
      </c>
      <c r="X162" s="4">
        <f t="shared" si="8"/>
        <v>-0.66212948510021907</v>
      </c>
      <c r="Y162" s="4">
        <f t="shared" si="6"/>
        <v>0.19780236704002999</v>
      </c>
      <c r="Z162" s="4">
        <v>111</v>
      </c>
      <c r="AA162" s="4">
        <v>92</v>
      </c>
      <c r="AB162" s="4"/>
      <c r="AC162" s="4"/>
      <c r="AD162" s="4"/>
      <c r="AE162" s="4"/>
      <c r="AF162" s="4"/>
      <c r="AG162" s="4"/>
    </row>
    <row r="163" spans="1:33" x14ac:dyDescent="0.35">
      <c r="A163" t="s">
        <v>45</v>
      </c>
      <c r="B163" t="s">
        <v>372</v>
      </c>
      <c r="F163" s="4"/>
      <c r="G163" s="12" t="s">
        <v>24</v>
      </c>
      <c r="H163" s="18">
        <v>2024</v>
      </c>
      <c r="I163" s="37"/>
      <c r="J163" s="4"/>
      <c r="K163" s="4"/>
      <c r="L163" s="4" t="s">
        <v>268</v>
      </c>
      <c r="M163" s="4" t="s">
        <v>279</v>
      </c>
      <c r="N163" s="4" t="s">
        <v>79</v>
      </c>
      <c r="O163" s="4" t="s">
        <v>308</v>
      </c>
      <c r="P163" s="4" t="s">
        <v>60</v>
      </c>
      <c r="Q163" s="4" t="s">
        <v>192</v>
      </c>
      <c r="S163" s="4"/>
      <c r="T163" s="4">
        <v>0.66</v>
      </c>
      <c r="U163" s="4">
        <v>0.51</v>
      </c>
      <c r="V163" s="4">
        <v>0.86</v>
      </c>
      <c r="W163" s="4">
        <f t="shared" si="7"/>
        <v>1.96</v>
      </c>
      <c r="X163" s="4">
        <f t="shared" si="8"/>
        <v>-0.41208372149917466</v>
      </c>
      <c r="Y163" s="4">
        <f t="shared" si="6"/>
        <v>0.13329634273703622</v>
      </c>
      <c r="Z163" s="4">
        <v>226</v>
      </c>
      <c r="AA163" s="4">
        <v>227</v>
      </c>
      <c r="AB163" s="4"/>
      <c r="AC163" s="4"/>
      <c r="AD163" s="4"/>
      <c r="AE163" s="4"/>
      <c r="AF163" s="4"/>
      <c r="AG163" s="4"/>
    </row>
    <row r="164" spans="1:33" x14ac:dyDescent="0.35">
      <c r="A164" t="s">
        <v>45</v>
      </c>
      <c r="B164" t="s">
        <v>372</v>
      </c>
      <c r="F164" s="4"/>
      <c r="G164" s="12" t="s">
        <v>24</v>
      </c>
      <c r="H164" s="18">
        <v>2024</v>
      </c>
      <c r="I164" s="37"/>
      <c r="J164" s="4"/>
      <c r="K164" s="4"/>
      <c r="L164" s="4" t="s">
        <v>268</v>
      </c>
      <c r="M164" s="4" t="s">
        <v>279</v>
      </c>
      <c r="N164" s="4" t="s">
        <v>79</v>
      </c>
      <c r="O164" s="4" t="s">
        <v>81</v>
      </c>
      <c r="P164" s="4" t="s">
        <v>60</v>
      </c>
      <c r="Q164" s="4" t="s">
        <v>192</v>
      </c>
      <c r="S164" s="4"/>
      <c r="T164" s="4">
        <v>0.51</v>
      </c>
      <c r="U164" s="4">
        <v>0.38</v>
      </c>
      <c r="V164" s="4">
        <v>0.69</v>
      </c>
      <c r="W164" s="4">
        <f t="shared" si="7"/>
        <v>1.96</v>
      </c>
      <c r="X164" s="4">
        <f t="shared" si="8"/>
        <v>-0.6693238538262688</v>
      </c>
      <c r="Y164" s="4">
        <f t="shared" si="6"/>
        <v>0.15217355736501878</v>
      </c>
      <c r="Z164" s="4">
        <v>171</v>
      </c>
      <c r="AA164" s="4">
        <v>173</v>
      </c>
      <c r="AB164" s="4"/>
      <c r="AC164" s="4"/>
      <c r="AD164" s="4"/>
      <c r="AE164" s="4"/>
      <c r="AF164" s="4"/>
      <c r="AG164" s="4"/>
    </row>
    <row r="165" spans="1:33" x14ac:dyDescent="0.35">
      <c r="A165" t="s">
        <v>45</v>
      </c>
      <c r="B165" t="s">
        <v>372</v>
      </c>
      <c r="F165" s="4"/>
      <c r="G165" s="12" t="s">
        <v>24</v>
      </c>
      <c r="H165" s="18">
        <v>2024</v>
      </c>
      <c r="I165" s="37"/>
      <c r="J165" s="4"/>
      <c r="K165" s="4"/>
      <c r="L165" s="4" t="s">
        <v>268</v>
      </c>
      <c r="M165" s="4" t="s">
        <v>279</v>
      </c>
      <c r="N165" s="4" t="s">
        <v>101</v>
      </c>
      <c r="O165" s="4" t="s">
        <v>309</v>
      </c>
      <c r="P165" s="4" t="s">
        <v>60</v>
      </c>
      <c r="Q165" s="4" t="s">
        <v>192</v>
      </c>
      <c r="S165" s="4"/>
      <c r="T165" s="4">
        <v>0.63</v>
      </c>
      <c r="U165" s="4">
        <v>0.51</v>
      </c>
      <c r="V165" s="4">
        <v>0.79</v>
      </c>
      <c r="W165" s="4">
        <f t="shared" si="7"/>
        <v>1.96</v>
      </c>
      <c r="X165" s="4">
        <f t="shared" si="8"/>
        <v>-0.45453344339241775</v>
      </c>
      <c r="Y165" s="4">
        <f t="shared" si="6"/>
        <v>0.1116383213629326</v>
      </c>
      <c r="Z165" s="4">
        <v>265</v>
      </c>
      <c r="AA165" s="4">
        <v>266</v>
      </c>
      <c r="AB165" s="4"/>
      <c r="AC165" s="4"/>
      <c r="AD165" s="4"/>
      <c r="AE165" s="4"/>
      <c r="AF165" s="4"/>
      <c r="AG165" s="4"/>
    </row>
    <row r="166" spans="1:33" x14ac:dyDescent="0.35">
      <c r="A166" t="s">
        <v>45</v>
      </c>
      <c r="B166" t="s">
        <v>372</v>
      </c>
      <c r="F166" s="4"/>
      <c r="G166" s="12" t="s">
        <v>24</v>
      </c>
      <c r="H166" s="18">
        <v>2024</v>
      </c>
      <c r="I166" s="37"/>
      <c r="J166" s="4"/>
      <c r="K166" s="4"/>
      <c r="L166" s="4" t="s">
        <v>268</v>
      </c>
      <c r="M166" s="4" t="s">
        <v>279</v>
      </c>
      <c r="N166" s="4" t="s">
        <v>101</v>
      </c>
      <c r="O166" s="4" t="s">
        <v>277</v>
      </c>
      <c r="P166" s="4" t="s">
        <v>60</v>
      </c>
      <c r="Q166" s="4" t="s">
        <v>192</v>
      </c>
      <c r="S166" s="4"/>
      <c r="T166" s="4">
        <v>0.48</v>
      </c>
      <c r="U166" s="4">
        <v>0.33</v>
      </c>
      <c r="V166" s="4">
        <v>0.71</v>
      </c>
      <c r="W166" s="4">
        <f t="shared" si="7"/>
        <v>1.96</v>
      </c>
      <c r="X166" s="4">
        <f t="shared" si="8"/>
        <v>-0.72557646673419351</v>
      </c>
      <c r="Y166" s="4">
        <f t="shared" si="6"/>
        <v>0.195452121320111</v>
      </c>
      <c r="Z166" s="4">
        <v>132</v>
      </c>
      <c r="AA166" s="4">
        <v>134</v>
      </c>
      <c r="AB166" s="4"/>
      <c r="AC166" s="4"/>
      <c r="AD166" s="4"/>
      <c r="AE166" s="4"/>
      <c r="AF166" s="4"/>
      <c r="AG166" s="4"/>
    </row>
    <row r="167" spans="1:33" x14ac:dyDescent="0.35">
      <c r="A167" t="s">
        <v>45</v>
      </c>
      <c r="B167" t="s">
        <v>372</v>
      </c>
      <c r="F167" s="4"/>
      <c r="G167" s="12" t="s">
        <v>24</v>
      </c>
      <c r="H167" s="18">
        <v>2024</v>
      </c>
      <c r="I167" s="37"/>
      <c r="J167" s="4"/>
      <c r="K167" s="4"/>
      <c r="L167" s="4" t="s">
        <v>268</v>
      </c>
      <c r="M167" s="4" t="s">
        <v>279</v>
      </c>
      <c r="N167" s="4" t="s">
        <v>101</v>
      </c>
      <c r="O167" s="4" t="s">
        <v>274</v>
      </c>
      <c r="P167" s="4" t="s">
        <v>60</v>
      </c>
      <c r="Q167" s="4" t="s">
        <v>192</v>
      </c>
      <c r="S167" s="4"/>
      <c r="T167" s="4">
        <v>0.75</v>
      </c>
      <c r="U167" s="4">
        <v>0.56000000000000005</v>
      </c>
      <c r="V167" s="4">
        <v>1.01</v>
      </c>
      <c r="W167" s="4">
        <f t="shared" si="7"/>
        <v>1.96</v>
      </c>
      <c r="X167" s="4">
        <f t="shared" si="8"/>
        <v>-0.28493408219988697</v>
      </c>
      <c r="Y167" s="4">
        <f t="shared" si="6"/>
        <v>0.15045123114951789</v>
      </c>
      <c r="Z167" s="4">
        <v>138</v>
      </c>
      <c r="AA167" s="4">
        <v>151</v>
      </c>
      <c r="AB167" s="4"/>
      <c r="AC167" s="4"/>
      <c r="AD167" s="4"/>
      <c r="AE167" s="4"/>
      <c r="AF167" s="4"/>
      <c r="AG167" s="4"/>
    </row>
    <row r="168" spans="1:33" x14ac:dyDescent="0.35">
      <c r="A168" t="s">
        <v>45</v>
      </c>
      <c r="B168" t="s">
        <v>372</v>
      </c>
      <c r="F168" s="4"/>
      <c r="G168" s="12" t="s">
        <v>24</v>
      </c>
      <c r="H168" s="18">
        <v>2024</v>
      </c>
      <c r="I168" s="37"/>
      <c r="J168" s="4"/>
      <c r="K168" s="4"/>
      <c r="L168" s="4" t="s">
        <v>268</v>
      </c>
      <c r="M168" s="4" t="s">
        <v>279</v>
      </c>
      <c r="N168" s="4" t="s">
        <v>101</v>
      </c>
      <c r="O168" s="4" t="s">
        <v>281</v>
      </c>
      <c r="P168" s="4" t="s">
        <v>60</v>
      </c>
      <c r="Q168" s="4" t="s">
        <v>192</v>
      </c>
      <c r="S168" s="4"/>
      <c r="T168" s="4">
        <v>0.51</v>
      </c>
      <c r="U168" s="4">
        <v>0.39</v>
      </c>
      <c r="V168" s="4">
        <v>0.66</v>
      </c>
      <c r="W168" s="4">
        <f t="shared" si="7"/>
        <v>1.96</v>
      </c>
      <c r="X168" s="4">
        <f t="shared" si="8"/>
        <v>-0.6785619919100554</v>
      </c>
      <c r="Y168" s="4">
        <f t="shared" si="6"/>
        <v>0.13420742242264774</v>
      </c>
      <c r="Z168" s="4">
        <v>259</v>
      </c>
      <c r="AA168" s="4">
        <v>249</v>
      </c>
      <c r="AB168" s="4"/>
      <c r="AC168" s="4"/>
      <c r="AD168" s="4"/>
      <c r="AE168" s="4"/>
      <c r="AF168" s="4"/>
      <c r="AG168" s="4"/>
    </row>
    <row r="169" spans="1:33" x14ac:dyDescent="0.35">
      <c r="A169" t="s">
        <v>45</v>
      </c>
      <c r="B169" t="s">
        <v>372</v>
      </c>
      <c r="F169" s="4"/>
      <c r="G169" s="12" t="s">
        <v>24</v>
      </c>
      <c r="H169" s="18">
        <v>2024</v>
      </c>
      <c r="I169" s="37"/>
      <c r="J169" s="4"/>
      <c r="K169" s="4"/>
      <c r="L169" s="4" t="s">
        <v>268</v>
      </c>
      <c r="M169" s="4" t="s">
        <v>279</v>
      </c>
      <c r="N169" s="4" t="s">
        <v>101</v>
      </c>
      <c r="O169" s="4" t="s">
        <v>274</v>
      </c>
      <c r="P169" s="4" t="s">
        <v>60</v>
      </c>
      <c r="Q169" s="4" t="s">
        <v>192</v>
      </c>
      <c r="S169" s="4"/>
      <c r="T169" s="4">
        <v>0.75</v>
      </c>
      <c r="U169" s="4">
        <v>0.56000000000000005</v>
      </c>
      <c r="V169" s="4">
        <v>1.01</v>
      </c>
      <c r="W169" s="4">
        <f t="shared" si="7"/>
        <v>1.96</v>
      </c>
      <c r="X169" s="4">
        <f t="shared" si="8"/>
        <v>-0.28493408219988697</v>
      </c>
      <c r="Y169" s="4">
        <f t="shared" si="6"/>
        <v>0.15045123114951789</v>
      </c>
      <c r="Z169" s="4">
        <v>138</v>
      </c>
      <c r="AA169" s="4">
        <v>151</v>
      </c>
      <c r="AB169" s="4"/>
      <c r="AC169" s="4"/>
      <c r="AD169" s="4"/>
      <c r="AE169" s="4"/>
      <c r="AF169" s="4"/>
      <c r="AG169" s="4"/>
    </row>
    <row r="170" spans="1:33" x14ac:dyDescent="0.35">
      <c r="A170" t="s">
        <v>45</v>
      </c>
      <c r="B170" t="s">
        <v>372</v>
      </c>
      <c r="F170" s="4"/>
      <c r="G170" s="12" t="s">
        <v>24</v>
      </c>
      <c r="H170" s="18">
        <v>2024</v>
      </c>
      <c r="I170" s="37"/>
      <c r="J170" s="4"/>
      <c r="K170" s="4"/>
      <c r="L170" s="4" t="s">
        <v>268</v>
      </c>
      <c r="M170" s="4" t="s">
        <v>279</v>
      </c>
      <c r="N170" s="4" t="s">
        <v>101</v>
      </c>
      <c r="O170" s="4" t="s">
        <v>276</v>
      </c>
      <c r="P170" s="4" t="s">
        <v>60</v>
      </c>
      <c r="Q170" s="4" t="s">
        <v>192</v>
      </c>
      <c r="S170" s="4"/>
      <c r="T170" s="4">
        <v>0.52</v>
      </c>
      <c r="U170" s="4">
        <v>0.36</v>
      </c>
      <c r="V170" s="4">
        <v>0.73</v>
      </c>
      <c r="W170" s="4">
        <f t="shared" si="7"/>
        <v>1.96</v>
      </c>
      <c r="X170" s="4">
        <f t="shared" si="8"/>
        <v>-0.66818099618584081</v>
      </c>
      <c r="Y170" s="4">
        <f t="shared" si="6"/>
        <v>0.18034196497252072</v>
      </c>
      <c r="Z170" s="4">
        <v>127</v>
      </c>
      <c r="AA170" s="4">
        <v>115</v>
      </c>
      <c r="AB170" s="4"/>
      <c r="AC170" s="4"/>
      <c r="AD170" s="4"/>
      <c r="AE170" s="4"/>
      <c r="AF170" s="4"/>
      <c r="AG170" s="4"/>
    </row>
    <row r="171" spans="1:33" x14ac:dyDescent="0.35">
      <c r="A171" t="s">
        <v>45</v>
      </c>
      <c r="B171" t="s">
        <v>372</v>
      </c>
      <c r="F171" s="4"/>
      <c r="G171" s="12" t="s">
        <v>24</v>
      </c>
      <c r="H171" s="18">
        <v>2024</v>
      </c>
      <c r="I171" s="37"/>
      <c r="J171" s="4"/>
      <c r="K171" s="4"/>
      <c r="L171" s="4" t="s">
        <v>268</v>
      </c>
      <c r="M171" s="4" t="s">
        <v>279</v>
      </c>
      <c r="N171" s="4" t="s">
        <v>101</v>
      </c>
      <c r="O171" s="4" t="s">
        <v>277</v>
      </c>
      <c r="P171" s="4" t="s">
        <v>60</v>
      </c>
      <c r="Q171" s="4" t="s">
        <v>192</v>
      </c>
      <c r="S171" s="4"/>
      <c r="T171" s="4">
        <v>0.48</v>
      </c>
      <c r="U171" s="4">
        <v>0.33</v>
      </c>
      <c r="V171" s="4">
        <v>0.71</v>
      </c>
      <c r="W171" s="4">
        <f t="shared" si="7"/>
        <v>1.96</v>
      </c>
      <c r="X171" s="4">
        <f t="shared" si="8"/>
        <v>-0.72557646673419351</v>
      </c>
      <c r="Y171" s="4">
        <f t="shared" si="6"/>
        <v>0.195452121320111</v>
      </c>
      <c r="Z171" s="4">
        <v>132</v>
      </c>
      <c r="AA171" s="4">
        <v>134</v>
      </c>
      <c r="AB171" s="4"/>
      <c r="AC171" s="4"/>
      <c r="AD171" s="4"/>
      <c r="AE171" s="4"/>
      <c r="AF171" s="4"/>
      <c r="AG171" s="4"/>
    </row>
    <row r="172" spans="1:33" x14ac:dyDescent="0.35">
      <c r="A172" t="s">
        <v>45</v>
      </c>
      <c r="B172" t="s">
        <v>372</v>
      </c>
      <c r="F172" s="4"/>
      <c r="G172" s="12" t="s">
        <v>24</v>
      </c>
      <c r="H172" s="18">
        <v>2024</v>
      </c>
      <c r="I172" s="37"/>
      <c r="J172" s="4"/>
      <c r="K172" s="4"/>
      <c r="L172" s="4" t="s">
        <v>268</v>
      </c>
      <c r="M172" s="4" t="s">
        <v>279</v>
      </c>
      <c r="N172" s="4" t="s">
        <v>310</v>
      </c>
      <c r="O172" s="4" t="s">
        <v>311</v>
      </c>
      <c r="P172" s="4" t="s">
        <v>60</v>
      </c>
      <c r="Q172" s="4" t="s">
        <v>192</v>
      </c>
      <c r="S172" s="4"/>
      <c r="T172" s="4">
        <v>0.55000000000000004</v>
      </c>
      <c r="U172" s="4">
        <v>0.38</v>
      </c>
      <c r="V172" s="4">
        <v>0.81</v>
      </c>
      <c r="W172" s="4">
        <f t="shared" si="7"/>
        <v>1.96</v>
      </c>
      <c r="X172" s="4">
        <f t="shared" si="8"/>
        <v>-0.58915252878867908</v>
      </c>
      <c r="Y172" s="4">
        <f t="shared" si="6"/>
        <v>0.19307729462909518</v>
      </c>
      <c r="Z172" s="4">
        <v>111</v>
      </c>
      <c r="AA172" s="4">
        <v>124</v>
      </c>
      <c r="AB172" s="4"/>
      <c r="AC172" s="4"/>
      <c r="AD172" s="4"/>
      <c r="AE172" s="4"/>
      <c r="AF172" s="4"/>
      <c r="AG172" s="4"/>
    </row>
    <row r="173" spans="1:33" x14ac:dyDescent="0.35">
      <c r="A173" t="s">
        <v>45</v>
      </c>
      <c r="B173" t="s">
        <v>372</v>
      </c>
      <c r="F173" s="4"/>
      <c r="G173" s="12" t="s">
        <v>24</v>
      </c>
      <c r="H173" s="18">
        <v>2024</v>
      </c>
      <c r="I173" s="37"/>
      <c r="J173" s="4"/>
      <c r="K173" s="4"/>
      <c r="L173" s="4" t="s">
        <v>268</v>
      </c>
      <c r="M173" s="4" t="s">
        <v>279</v>
      </c>
      <c r="N173" s="4" t="s">
        <v>310</v>
      </c>
      <c r="O173" s="4" t="s">
        <v>113</v>
      </c>
      <c r="P173" s="4" t="s">
        <v>60</v>
      </c>
      <c r="Q173" s="4" t="s">
        <v>192</v>
      </c>
      <c r="S173" s="4"/>
      <c r="T173" s="4">
        <v>0.32</v>
      </c>
      <c r="U173" s="4">
        <v>0.11</v>
      </c>
      <c r="V173" s="4">
        <v>0.91</v>
      </c>
      <c r="W173" s="4">
        <f t="shared" si="7"/>
        <v>1.96</v>
      </c>
      <c r="X173" s="4">
        <f t="shared" si="8"/>
        <v>-1.1507927963304809</v>
      </c>
      <c r="Y173" s="4">
        <f t="shared" si="6"/>
        <v>0.53902148819348972</v>
      </c>
      <c r="Z173" s="4">
        <v>14</v>
      </c>
      <c r="AA173" s="4">
        <v>19</v>
      </c>
      <c r="AB173" s="4"/>
      <c r="AC173" s="4"/>
      <c r="AD173" s="4"/>
      <c r="AE173" s="4"/>
      <c r="AF173" s="4"/>
      <c r="AG173" s="4"/>
    </row>
    <row r="174" spans="1:33" x14ac:dyDescent="0.35">
      <c r="A174" t="s">
        <v>45</v>
      </c>
      <c r="B174" t="s">
        <v>372</v>
      </c>
      <c r="F174" s="4"/>
      <c r="G174" s="12" t="s">
        <v>24</v>
      </c>
      <c r="H174" s="18">
        <v>2024</v>
      </c>
      <c r="I174" s="37"/>
      <c r="J174" s="4"/>
      <c r="K174" s="4"/>
      <c r="L174" s="4" t="s">
        <v>268</v>
      </c>
      <c r="M174" s="4" t="s">
        <v>279</v>
      </c>
      <c r="N174" s="4" t="s">
        <v>310</v>
      </c>
      <c r="O174" s="4" t="s">
        <v>312</v>
      </c>
      <c r="P174" s="4" t="s">
        <v>60</v>
      </c>
      <c r="Q174" s="4" t="s">
        <v>192</v>
      </c>
      <c r="S174" s="4"/>
      <c r="T174" s="4">
        <v>0.62</v>
      </c>
      <c r="U174" s="4">
        <v>0.49</v>
      </c>
      <c r="V174" s="4">
        <v>0.79</v>
      </c>
      <c r="W174" s="4">
        <f t="shared" si="7"/>
        <v>1.96</v>
      </c>
      <c r="X174" s="4">
        <f t="shared" si="8"/>
        <v>-0.47453611069926732</v>
      </c>
      <c r="Y174" s="4">
        <f t="shared" si="6"/>
        <v>0.12184376386642728</v>
      </c>
      <c r="Z174" s="4">
        <v>272</v>
      </c>
      <c r="AA174" s="4">
        <v>257</v>
      </c>
      <c r="AB174" s="4"/>
      <c r="AC174" s="4"/>
      <c r="AD174" s="4"/>
      <c r="AE174" s="4"/>
      <c r="AF174" s="4"/>
      <c r="AG174" s="4"/>
    </row>
    <row r="175" spans="1:33" x14ac:dyDescent="0.35">
      <c r="A175" t="s">
        <v>45</v>
      </c>
      <c r="B175" t="s">
        <v>372</v>
      </c>
      <c r="F175" s="4"/>
      <c r="G175" s="12" t="s">
        <v>24</v>
      </c>
      <c r="H175" s="18">
        <v>2024</v>
      </c>
      <c r="I175" s="37"/>
      <c r="J175" s="4"/>
      <c r="K175" s="4"/>
      <c r="L175" s="4" t="s">
        <v>268</v>
      </c>
      <c r="M175" s="4" t="s">
        <v>279</v>
      </c>
      <c r="N175" s="4" t="s">
        <v>313</v>
      </c>
      <c r="O175" s="4" t="s">
        <v>311</v>
      </c>
      <c r="P175" s="4" t="s">
        <v>60</v>
      </c>
      <c r="Q175" s="4" t="s">
        <v>192</v>
      </c>
      <c r="S175" s="4"/>
      <c r="T175" s="4">
        <v>0.5</v>
      </c>
      <c r="U175" s="4">
        <v>0.35</v>
      </c>
      <c r="V175" s="4">
        <v>0.73</v>
      </c>
      <c r="W175" s="4">
        <f t="shared" si="7"/>
        <v>1.96</v>
      </c>
      <c r="X175" s="4">
        <f t="shared" si="8"/>
        <v>-0.68226643466918901</v>
      </c>
      <c r="Y175" s="4">
        <f t="shared" si="6"/>
        <v>0.18752841317831062</v>
      </c>
      <c r="Z175" s="4">
        <v>104</v>
      </c>
      <c r="AA175" s="4">
        <v>132</v>
      </c>
      <c r="AB175" s="4"/>
      <c r="AC175" s="4"/>
      <c r="AD175" s="4"/>
      <c r="AE175" s="4"/>
      <c r="AF175" s="4"/>
      <c r="AG175" s="4"/>
    </row>
    <row r="176" spans="1:33" x14ac:dyDescent="0.35">
      <c r="A176" t="s">
        <v>45</v>
      </c>
      <c r="B176" t="s">
        <v>372</v>
      </c>
      <c r="F176" s="4"/>
      <c r="G176" s="12" t="s">
        <v>24</v>
      </c>
      <c r="H176" s="18">
        <v>2024</v>
      </c>
      <c r="I176" s="37"/>
      <c r="J176" s="4"/>
      <c r="K176" s="4"/>
      <c r="L176" s="4" t="s">
        <v>268</v>
      </c>
      <c r="M176" s="4" t="s">
        <v>279</v>
      </c>
      <c r="N176" s="4" t="s">
        <v>313</v>
      </c>
      <c r="O176" s="4" t="s">
        <v>312</v>
      </c>
      <c r="P176" s="4" t="s">
        <v>60</v>
      </c>
      <c r="Q176" s="4" t="s">
        <v>192</v>
      </c>
      <c r="S176" s="4"/>
      <c r="T176" s="4">
        <v>0.62</v>
      </c>
      <c r="U176" s="4">
        <v>0.49</v>
      </c>
      <c r="V176" s="4">
        <v>0.78</v>
      </c>
      <c r="W176" s="4">
        <f t="shared" si="7"/>
        <v>1.96</v>
      </c>
      <c r="X176" s="4">
        <f t="shared" si="8"/>
        <v>-0.48090562358798217</v>
      </c>
      <c r="Y176" s="4">
        <f t="shared" si="6"/>
        <v>0.11859401239259316</v>
      </c>
      <c r="Z176" s="4">
        <v>281</v>
      </c>
      <c r="AA176" s="4">
        <v>259</v>
      </c>
      <c r="AB176" s="4"/>
      <c r="AC176" s="4"/>
      <c r="AD176" s="4"/>
      <c r="AE176" s="4"/>
      <c r="AF176" s="4"/>
      <c r="AG176" s="4"/>
    </row>
    <row r="177" spans="1:33" x14ac:dyDescent="0.35">
      <c r="A177" t="s">
        <v>45</v>
      </c>
      <c r="B177" t="s">
        <v>372</v>
      </c>
      <c r="F177" s="4"/>
      <c r="G177" s="12" t="s">
        <v>24</v>
      </c>
      <c r="H177" s="18">
        <v>2024</v>
      </c>
      <c r="I177" s="37"/>
      <c r="J177" s="4"/>
      <c r="K177" s="4"/>
      <c r="L177" s="4" t="s">
        <v>268</v>
      </c>
      <c r="M177" s="4" t="s">
        <v>279</v>
      </c>
      <c r="N177" s="4" t="s">
        <v>314</v>
      </c>
      <c r="O177" s="4" t="s">
        <v>315</v>
      </c>
      <c r="P177" s="4" t="s">
        <v>60</v>
      </c>
      <c r="Q177" s="4" t="s">
        <v>192</v>
      </c>
      <c r="S177" s="4"/>
      <c r="T177" s="4">
        <v>0.33</v>
      </c>
      <c r="U177" s="4">
        <v>0.09</v>
      </c>
      <c r="V177" s="4">
        <v>1.22</v>
      </c>
      <c r="W177" s="4">
        <f t="shared" si="7"/>
        <v>1.96</v>
      </c>
      <c r="X177" s="4">
        <f t="shared" si="8"/>
        <v>-1.1045473749533534</v>
      </c>
      <c r="Y177" s="4">
        <f t="shared" si="6"/>
        <v>0.6649990988257749</v>
      </c>
      <c r="Z177" s="4">
        <v>72</v>
      </c>
      <c r="AA177" s="4">
        <v>16</v>
      </c>
      <c r="AB177" s="4"/>
      <c r="AC177" s="4"/>
      <c r="AD177" s="4"/>
      <c r="AE177" s="4"/>
      <c r="AF177" s="4"/>
      <c r="AG177" s="4"/>
    </row>
    <row r="178" spans="1:33" x14ac:dyDescent="0.35">
      <c r="A178" t="s">
        <v>45</v>
      </c>
      <c r="B178" t="s">
        <v>372</v>
      </c>
      <c r="F178" s="4"/>
      <c r="G178" s="12" t="s">
        <v>24</v>
      </c>
      <c r="H178" s="18">
        <v>2024</v>
      </c>
      <c r="I178" s="37"/>
      <c r="J178" s="4"/>
      <c r="K178" s="4"/>
      <c r="L178" s="4" t="s">
        <v>268</v>
      </c>
      <c r="M178" s="4" t="s">
        <v>279</v>
      </c>
      <c r="N178" s="4" t="s">
        <v>314</v>
      </c>
      <c r="O178" s="4" t="s">
        <v>316</v>
      </c>
      <c r="P178" s="4" t="s">
        <v>60</v>
      </c>
      <c r="Q178" s="4" t="s">
        <v>192</v>
      </c>
      <c r="S178" s="4"/>
      <c r="T178" s="4">
        <v>0.69</v>
      </c>
      <c r="U178" s="4">
        <v>0.55000000000000004</v>
      </c>
      <c r="V178" s="4">
        <v>0.85</v>
      </c>
      <c r="W178" s="4">
        <f t="shared" si="7"/>
        <v>1.96</v>
      </c>
      <c r="X178" s="4">
        <f t="shared" si="8"/>
        <v>-0.38017796512669766</v>
      </c>
      <c r="Y178" s="4">
        <f t="shared" si="6"/>
        <v>0.11105052838210344</v>
      </c>
      <c r="Z178" s="4">
        <v>325</v>
      </c>
      <c r="AA178" s="4">
        <v>384</v>
      </c>
      <c r="AB178" s="4"/>
      <c r="AC178" s="4"/>
      <c r="AD178" s="4"/>
      <c r="AE178" s="4"/>
      <c r="AF178" s="4"/>
      <c r="AG178" s="4"/>
    </row>
    <row r="179" spans="1:33" x14ac:dyDescent="0.35">
      <c r="A179" t="s">
        <v>45</v>
      </c>
      <c r="D179" s="25" t="s">
        <v>342</v>
      </c>
      <c r="F179" s="4"/>
      <c r="G179" s="12" t="s">
        <v>31</v>
      </c>
      <c r="H179" s="18">
        <v>2024</v>
      </c>
      <c r="I179" s="37"/>
      <c r="J179" s="4"/>
      <c r="K179" s="4"/>
      <c r="L179" s="4" t="s">
        <v>268</v>
      </c>
      <c r="M179" s="4" t="s">
        <v>279</v>
      </c>
      <c r="N179" s="4" t="s">
        <v>37</v>
      </c>
      <c r="O179" s="4" t="s">
        <v>37</v>
      </c>
      <c r="P179" s="4" t="s">
        <v>38</v>
      </c>
      <c r="Q179" s="4" t="s">
        <v>192</v>
      </c>
      <c r="S179" s="4"/>
      <c r="T179" s="4">
        <v>0.4</v>
      </c>
      <c r="U179" s="4">
        <v>0.28000000000000003</v>
      </c>
      <c r="V179" s="4">
        <v>0.56999999999999995</v>
      </c>
      <c r="W179" s="4">
        <f t="shared" si="7"/>
        <v>1.96</v>
      </c>
      <c r="X179" s="4">
        <f t="shared" si="8"/>
        <v>-0.91754229698321432</v>
      </c>
      <c r="Y179" s="4">
        <f t="shared" si="6"/>
        <v>0.18133845858656786</v>
      </c>
      <c r="Z179" s="4">
        <v>202</v>
      </c>
      <c r="AA179" s="4">
        <v>202</v>
      </c>
      <c r="AB179" s="4"/>
      <c r="AC179" s="4"/>
      <c r="AD179" s="4"/>
      <c r="AE179" s="4"/>
      <c r="AF179" s="4"/>
      <c r="AG179" s="4"/>
    </row>
    <row r="180" spans="1:33" x14ac:dyDescent="0.35">
      <c r="A180" t="s">
        <v>45</v>
      </c>
      <c r="F180" s="4"/>
      <c r="G180" s="12" t="s">
        <v>31</v>
      </c>
      <c r="H180" s="18">
        <v>2024</v>
      </c>
      <c r="I180" s="37"/>
      <c r="J180" s="4"/>
      <c r="K180" s="4"/>
      <c r="L180" s="4" t="s">
        <v>268</v>
      </c>
      <c r="M180" s="4" t="s">
        <v>269</v>
      </c>
      <c r="N180" s="4" t="s">
        <v>37</v>
      </c>
      <c r="O180" s="4" t="s">
        <v>37</v>
      </c>
      <c r="P180" s="4" t="s">
        <v>38</v>
      </c>
      <c r="Q180" s="4" t="s">
        <v>192</v>
      </c>
      <c r="S180" s="4"/>
      <c r="T180" s="4">
        <v>0.62</v>
      </c>
      <c r="U180" s="4">
        <v>0.38</v>
      </c>
      <c r="V180" s="4">
        <v>1</v>
      </c>
      <c r="W180" s="4">
        <f t="shared" si="7"/>
        <v>1.96</v>
      </c>
      <c r="X180" s="4">
        <f t="shared" si="8"/>
        <v>-0.48379201313085279</v>
      </c>
      <c r="Y180" s="4">
        <f t="shared" si="6"/>
        <v>0.24683265976063917</v>
      </c>
      <c r="Z180" s="4">
        <v>202</v>
      </c>
      <c r="AA180" s="4">
        <v>202</v>
      </c>
      <c r="AB180" s="4"/>
      <c r="AC180" s="4"/>
      <c r="AD180" s="4"/>
      <c r="AE180" s="4"/>
      <c r="AF180" s="4"/>
      <c r="AG180" s="4"/>
    </row>
    <row r="181" spans="1:33" ht="42.45" x14ac:dyDescent="0.35">
      <c r="A181" t="s">
        <v>45</v>
      </c>
      <c r="F181" s="4"/>
      <c r="G181" s="12" t="s">
        <v>31</v>
      </c>
      <c r="H181" s="18">
        <v>2024</v>
      </c>
      <c r="I181" s="37"/>
      <c r="J181" s="4"/>
      <c r="K181" s="4"/>
      <c r="L181" s="4" t="s">
        <v>268</v>
      </c>
      <c r="M181" s="6" t="s">
        <v>317</v>
      </c>
      <c r="N181" s="6" t="s">
        <v>318</v>
      </c>
      <c r="O181" s="4" t="s">
        <v>315</v>
      </c>
      <c r="P181" s="4" t="s">
        <v>38</v>
      </c>
      <c r="Q181" s="4" t="s">
        <v>192</v>
      </c>
      <c r="S181" s="4"/>
      <c r="T181" s="4">
        <v>0.49</v>
      </c>
      <c r="U181" s="4">
        <v>0.31</v>
      </c>
      <c r="V181" s="4">
        <v>0.76</v>
      </c>
      <c r="W181" s="4">
        <f t="shared" si="7"/>
        <v>1.96</v>
      </c>
      <c r="X181" s="4">
        <f t="shared" si="8"/>
        <v>-0.72280991360235269</v>
      </c>
      <c r="Y181" s="4">
        <f t="shared" si="6"/>
        <v>0.22876176933703693</v>
      </c>
      <c r="Z181" s="4">
        <v>166</v>
      </c>
      <c r="AA181" s="4">
        <v>148</v>
      </c>
      <c r="AB181" s="4"/>
      <c r="AC181" s="4"/>
      <c r="AD181" s="4"/>
      <c r="AE181" s="4"/>
      <c r="AF181" s="4"/>
      <c r="AG181" s="4"/>
    </row>
    <row r="182" spans="1:33" ht="42.45" x14ac:dyDescent="0.35">
      <c r="A182" t="s">
        <v>45</v>
      </c>
      <c r="F182" s="4"/>
      <c r="G182" s="12" t="s">
        <v>31</v>
      </c>
      <c r="H182" s="18">
        <v>2024</v>
      </c>
      <c r="I182" s="37"/>
      <c r="J182" s="4"/>
      <c r="K182" s="4"/>
      <c r="L182" s="4" t="s">
        <v>268</v>
      </c>
      <c r="M182" s="6" t="s">
        <v>317</v>
      </c>
      <c r="N182" s="6" t="s">
        <v>319</v>
      </c>
      <c r="O182" s="4" t="s">
        <v>315</v>
      </c>
      <c r="P182" s="4" t="s">
        <v>38</v>
      </c>
      <c r="Q182" s="4" t="s">
        <v>192</v>
      </c>
      <c r="S182" s="4"/>
      <c r="T182" s="4">
        <v>0.5</v>
      </c>
      <c r="U182" s="4">
        <v>0.33</v>
      </c>
      <c r="V182" s="4">
        <v>0.76</v>
      </c>
      <c r="W182" s="4">
        <f t="shared" si="7"/>
        <v>1.96</v>
      </c>
      <c r="X182" s="4">
        <f t="shared" si="8"/>
        <v>-0.69154973511168571</v>
      </c>
      <c r="Y182" s="4">
        <f t="shared" si="6"/>
        <v>0.21281269867853339</v>
      </c>
      <c r="Z182" s="4">
        <v>166</v>
      </c>
      <c r="AA182" s="4">
        <v>148</v>
      </c>
      <c r="AB182" s="4"/>
      <c r="AC182" s="4"/>
      <c r="AD182" s="4"/>
      <c r="AE182" s="4"/>
      <c r="AF182" s="4"/>
      <c r="AG182" s="4"/>
    </row>
    <row r="183" spans="1:33" x14ac:dyDescent="0.35">
      <c r="A183" t="s">
        <v>45</v>
      </c>
      <c r="B183" t="s">
        <v>335</v>
      </c>
      <c r="F183" s="4" t="s">
        <v>339</v>
      </c>
      <c r="G183" s="12" t="s">
        <v>40</v>
      </c>
      <c r="H183" s="18">
        <v>2024</v>
      </c>
      <c r="I183" s="37" t="s">
        <v>334</v>
      </c>
      <c r="J183" s="10"/>
      <c r="K183" s="4"/>
      <c r="L183" s="4" t="s">
        <v>268</v>
      </c>
      <c r="M183" s="4" t="s">
        <v>279</v>
      </c>
      <c r="N183" s="4" t="s">
        <v>37</v>
      </c>
      <c r="O183" s="4" t="s">
        <v>37</v>
      </c>
      <c r="P183" s="4" t="s">
        <v>42</v>
      </c>
      <c r="Q183" s="4" t="s">
        <v>192</v>
      </c>
      <c r="S183" s="4">
        <v>95</v>
      </c>
      <c r="T183" s="4">
        <v>0.56999999999999995</v>
      </c>
      <c r="U183" s="4">
        <v>0.41</v>
      </c>
      <c r="V183" s="4">
        <v>0.8</v>
      </c>
      <c r="W183" s="4">
        <f t="shared" si="7"/>
        <v>1.9599639845400536</v>
      </c>
      <c r="X183" s="4">
        <f t="shared" si="8"/>
        <v>-0.55737083529899667</v>
      </c>
      <c r="Y183" s="4">
        <f t="shared" si="6"/>
        <v>0.17052725796041623</v>
      </c>
      <c r="Z183" s="4">
        <v>226</v>
      </c>
      <c r="AA183" s="4">
        <v>227</v>
      </c>
      <c r="AB183" s="4"/>
      <c r="AC183" s="4"/>
      <c r="AD183" s="4"/>
      <c r="AE183" s="4"/>
      <c r="AF183" s="4"/>
      <c r="AG183" s="4"/>
    </row>
    <row r="184" spans="1:33" x14ac:dyDescent="0.35">
      <c r="A184" t="s">
        <v>45</v>
      </c>
      <c r="F184" s="4"/>
      <c r="G184" s="12" t="s">
        <v>40</v>
      </c>
      <c r="H184" s="18">
        <v>2024</v>
      </c>
      <c r="I184" s="37"/>
      <c r="J184" s="4"/>
      <c r="L184" s="4" t="s">
        <v>268</v>
      </c>
      <c r="M184" s="4" t="s">
        <v>279</v>
      </c>
      <c r="N184" s="4" t="s">
        <v>280</v>
      </c>
      <c r="O184" s="4" t="s">
        <v>230</v>
      </c>
      <c r="P184" s="4" t="s">
        <v>42</v>
      </c>
      <c r="Q184" s="4" t="s">
        <v>192</v>
      </c>
      <c r="S184" s="4"/>
      <c r="T184" s="4">
        <v>0.61</v>
      </c>
      <c r="U184" s="4">
        <v>0.4</v>
      </c>
      <c r="V184" s="4">
        <v>0.94</v>
      </c>
      <c r="W184" s="4">
        <f t="shared" si="7"/>
        <v>1.96</v>
      </c>
      <c r="X184" s="4">
        <f t="shared" si="8"/>
        <v>-0.48908306779612126</v>
      </c>
      <c r="Y184" s="4">
        <f t="shared" si="6"/>
        <v>0.21796309391736415</v>
      </c>
      <c r="Z184" s="4">
        <v>143</v>
      </c>
      <c r="AA184" s="4">
        <v>129</v>
      </c>
      <c r="AB184" s="4"/>
      <c r="AC184" s="4"/>
      <c r="AD184" s="4"/>
      <c r="AE184" s="4"/>
      <c r="AF184" s="4"/>
      <c r="AG184" s="4"/>
    </row>
    <row r="185" spans="1:33" x14ac:dyDescent="0.35">
      <c r="A185" t="s">
        <v>45</v>
      </c>
      <c r="F185" s="4"/>
      <c r="G185" s="12" t="s">
        <v>40</v>
      </c>
      <c r="H185" s="18">
        <v>2024</v>
      </c>
      <c r="I185" s="37"/>
      <c r="J185" s="4"/>
      <c r="L185" s="4" t="s">
        <v>268</v>
      </c>
      <c r="M185" s="4" t="s">
        <v>279</v>
      </c>
      <c r="N185" s="4" t="s">
        <v>280</v>
      </c>
      <c r="O185" s="4" t="s">
        <v>56</v>
      </c>
      <c r="P185" s="4" t="s">
        <v>42</v>
      </c>
      <c r="Q185" s="4" t="s">
        <v>192</v>
      </c>
      <c r="S185" s="4"/>
      <c r="T185" s="4">
        <v>0.51</v>
      </c>
      <c r="U185" s="4">
        <v>0.3</v>
      </c>
      <c r="V185" s="4">
        <v>0.89</v>
      </c>
      <c r="W185" s="4">
        <f t="shared" si="7"/>
        <v>1.96</v>
      </c>
      <c r="X185" s="4">
        <f t="shared" si="8"/>
        <v>-0.66025331029094381</v>
      </c>
      <c r="Y185" s="4">
        <f t="shared" si="6"/>
        <v>0.27740790511989405</v>
      </c>
      <c r="Z185" s="4">
        <v>83</v>
      </c>
      <c r="AA185" s="4">
        <v>98</v>
      </c>
      <c r="AB185" s="4"/>
      <c r="AC185" s="4"/>
      <c r="AD185" s="4"/>
      <c r="AE185" s="4"/>
      <c r="AF185" s="4"/>
      <c r="AG185" s="4"/>
    </row>
    <row r="186" spans="1:33" x14ac:dyDescent="0.35">
      <c r="A186" t="s">
        <v>45</v>
      </c>
      <c r="F186" s="4"/>
      <c r="G186" s="12" t="s">
        <v>40</v>
      </c>
      <c r="H186" s="18">
        <v>2024</v>
      </c>
      <c r="I186" s="37"/>
      <c r="J186" s="4"/>
      <c r="L186" s="4" t="s">
        <v>268</v>
      </c>
      <c r="M186" s="4" t="s">
        <v>279</v>
      </c>
      <c r="N186" s="4" t="s">
        <v>58</v>
      </c>
      <c r="O186" s="4" t="s">
        <v>59</v>
      </c>
      <c r="P186" s="4" t="s">
        <v>42</v>
      </c>
      <c r="Q186" s="4" t="s">
        <v>192</v>
      </c>
      <c r="S186" s="4"/>
      <c r="T186" s="4">
        <v>0.56999999999999995</v>
      </c>
      <c r="U186" s="4">
        <v>0.4</v>
      </c>
      <c r="V186" s="4">
        <v>0.8</v>
      </c>
      <c r="W186" s="4">
        <f t="shared" si="7"/>
        <v>1.96</v>
      </c>
      <c r="X186" s="4">
        <f t="shared" si="8"/>
        <v>-0.56971714159418241</v>
      </c>
      <c r="Y186" s="4">
        <f t="shared" si="6"/>
        <v>0.17682326034692483</v>
      </c>
      <c r="Z186" s="4">
        <v>205</v>
      </c>
      <c r="AA186" s="4">
        <v>205</v>
      </c>
      <c r="AB186" s="4"/>
      <c r="AC186" s="4"/>
      <c r="AD186" s="4"/>
      <c r="AE186" s="4"/>
      <c r="AF186" s="4"/>
      <c r="AG186" s="4"/>
    </row>
    <row r="187" spans="1:33" x14ac:dyDescent="0.35">
      <c r="A187" t="s">
        <v>45</v>
      </c>
      <c r="F187" s="4"/>
      <c r="G187" s="12" t="s">
        <v>40</v>
      </c>
      <c r="H187" s="18">
        <v>2024</v>
      </c>
      <c r="I187" s="37"/>
      <c r="J187" s="4"/>
      <c r="L187" s="4" t="s">
        <v>268</v>
      </c>
      <c r="M187" s="4" t="s">
        <v>279</v>
      </c>
      <c r="N187" s="4" t="s">
        <v>58</v>
      </c>
      <c r="O187" s="4" t="s">
        <v>63</v>
      </c>
      <c r="P187" s="4" t="s">
        <v>42</v>
      </c>
      <c r="Q187" s="4" t="s">
        <v>192</v>
      </c>
      <c r="S187" s="4"/>
      <c r="T187" s="4">
        <v>0.68</v>
      </c>
      <c r="U187" s="4">
        <v>0.19</v>
      </c>
      <c r="V187" s="4">
        <v>2.4</v>
      </c>
      <c r="W187" s="4">
        <f t="shared" si="7"/>
        <v>1.96</v>
      </c>
      <c r="X187" s="4">
        <f t="shared" si="8"/>
        <v>-0.39263123473387551</v>
      </c>
      <c r="Y187" s="4">
        <f t="shared" si="6"/>
        <v>0.64698978167743648</v>
      </c>
      <c r="Z187" s="4">
        <v>21</v>
      </c>
      <c r="AA187" s="4">
        <v>22</v>
      </c>
      <c r="AB187" s="4"/>
      <c r="AC187" s="4"/>
      <c r="AD187" s="4"/>
      <c r="AE187" s="4"/>
      <c r="AF187" s="4"/>
      <c r="AG187" s="4"/>
    </row>
    <row r="188" spans="1:33" x14ac:dyDescent="0.35">
      <c r="A188" t="s">
        <v>45</v>
      </c>
      <c r="F188" s="4"/>
      <c r="G188" s="12" t="s">
        <v>40</v>
      </c>
      <c r="H188" s="18">
        <v>2024</v>
      </c>
      <c r="I188" s="37"/>
      <c r="J188" s="4"/>
      <c r="L188" s="4" t="s">
        <v>268</v>
      </c>
      <c r="M188" s="4" t="s">
        <v>279</v>
      </c>
      <c r="N188" s="4" t="s">
        <v>64</v>
      </c>
      <c r="O188" s="4">
        <v>0</v>
      </c>
      <c r="P188" s="4" t="s">
        <v>42</v>
      </c>
      <c r="Q188" s="4" t="s">
        <v>192</v>
      </c>
      <c r="S188" s="4"/>
      <c r="T188" s="4">
        <v>0.56999999999999995</v>
      </c>
      <c r="U188" s="4">
        <v>0.37</v>
      </c>
      <c r="V188" s="4">
        <v>0.87</v>
      </c>
      <c r="W188" s="4">
        <f t="shared" si="7"/>
        <v>1.96</v>
      </c>
      <c r="X188" s="4">
        <f t="shared" si="8"/>
        <v>-0.56675717033868733</v>
      </c>
      <c r="Y188" s="4">
        <f t="shared" si="6"/>
        <v>0.21810974643121409</v>
      </c>
      <c r="Z188" s="4">
        <v>142</v>
      </c>
      <c r="AA188" s="4">
        <v>154</v>
      </c>
      <c r="AB188" s="4"/>
      <c r="AC188" s="4"/>
      <c r="AD188" s="4"/>
      <c r="AE188" s="4"/>
      <c r="AF188" s="4"/>
      <c r="AG188" s="4"/>
    </row>
    <row r="189" spans="1:33" x14ac:dyDescent="0.35">
      <c r="A189" t="s">
        <v>45</v>
      </c>
      <c r="F189" s="4"/>
      <c r="G189" s="12" t="s">
        <v>40</v>
      </c>
      <c r="H189" s="18">
        <v>2024</v>
      </c>
      <c r="I189" s="37"/>
      <c r="J189" s="4"/>
      <c r="L189" s="4" t="s">
        <v>268</v>
      </c>
      <c r="M189" s="4" t="s">
        <v>279</v>
      </c>
      <c r="N189" s="4" t="s">
        <v>64</v>
      </c>
      <c r="O189" s="4">
        <v>1</v>
      </c>
      <c r="P189" s="4" t="s">
        <v>42</v>
      </c>
      <c r="Q189" s="4" t="s">
        <v>192</v>
      </c>
      <c r="S189" s="4"/>
      <c r="T189" s="4">
        <v>0.57999999999999996</v>
      </c>
      <c r="U189" s="4">
        <v>0.33</v>
      </c>
      <c r="V189" s="4">
        <v>1</v>
      </c>
      <c r="W189" s="4">
        <f t="shared" si="7"/>
        <v>1.96</v>
      </c>
      <c r="X189" s="4">
        <f t="shared" si="8"/>
        <v>-0.55433131226080556</v>
      </c>
      <c r="Y189" s="4">
        <f t="shared" si="6"/>
        <v>0.28282209809224773</v>
      </c>
      <c r="Z189" s="4">
        <v>83</v>
      </c>
      <c r="AA189" s="4">
        <v>73</v>
      </c>
      <c r="AB189" s="4"/>
      <c r="AC189" s="4"/>
      <c r="AD189" s="4"/>
      <c r="AE189" s="4"/>
      <c r="AF189" s="4"/>
      <c r="AG189" s="4"/>
    </row>
    <row r="190" spans="1:33" x14ac:dyDescent="0.35">
      <c r="A190" t="s">
        <v>45</v>
      </c>
      <c r="F190" s="4"/>
      <c r="G190" s="12" t="s">
        <v>40</v>
      </c>
      <c r="H190" s="18">
        <v>2024</v>
      </c>
      <c r="I190" s="37"/>
      <c r="J190" s="4"/>
      <c r="L190" s="4" t="s">
        <v>268</v>
      </c>
      <c r="M190" s="4" t="s">
        <v>279</v>
      </c>
      <c r="N190" s="4" t="s">
        <v>77</v>
      </c>
      <c r="O190" s="4" t="s">
        <v>83</v>
      </c>
      <c r="P190" s="4" t="s">
        <v>42</v>
      </c>
      <c r="Q190" s="4" t="s">
        <v>192</v>
      </c>
      <c r="S190" s="4"/>
      <c r="T190" s="4">
        <v>0.47</v>
      </c>
      <c r="U190" s="4">
        <v>0.26</v>
      </c>
      <c r="V190" s="4">
        <v>0.87</v>
      </c>
      <c r="W190" s="4">
        <f t="shared" si="7"/>
        <v>1.96</v>
      </c>
      <c r="X190" s="4">
        <f t="shared" si="8"/>
        <v>-0.74316785765005844</v>
      </c>
      <c r="Y190" s="4">
        <f t="shared" si="6"/>
        <v>0.30811519914109736</v>
      </c>
      <c r="Z190" s="4">
        <v>92</v>
      </c>
      <c r="AA190" s="4">
        <v>91</v>
      </c>
      <c r="AB190" s="4"/>
      <c r="AC190" s="4"/>
      <c r="AD190" s="4"/>
      <c r="AE190" s="4"/>
      <c r="AF190" s="4"/>
      <c r="AG190" s="4"/>
    </row>
    <row r="191" spans="1:33" x14ac:dyDescent="0.35">
      <c r="A191" t="s">
        <v>45</v>
      </c>
      <c r="F191" s="4"/>
      <c r="G191" s="12" t="s">
        <v>40</v>
      </c>
      <c r="H191" s="18">
        <v>2024</v>
      </c>
      <c r="I191" s="37"/>
      <c r="J191" s="4"/>
      <c r="L191" s="4" t="s">
        <v>268</v>
      </c>
      <c r="M191" s="4" t="s">
        <v>279</v>
      </c>
      <c r="N191" s="4" t="s">
        <v>77</v>
      </c>
      <c r="O191" s="4" t="s">
        <v>320</v>
      </c>
      <c r="P191" s="4" t="s">
        <v>42</v>
      </c>
      <c r="Q191" s="4" t="s">
        <v>192</v>
      </c>
      <c r="S191" s="4"/>
      <c r="T191" s="4">
        <v>0.62</v>
      </c>
      <c r="U191" s="4">
        <v>0.42</v>
      </c>
      <c r="V191" s="4">
        <v>0.94</v>
      </c>
      <c r="W191" s="4">
        <f t="shared" si="7"/>
        <v>1.96</v>
      </c>
      <c r="X191" s="4">
        <f t="shared" si="8"/>
        <v>-0.46468798571140529</v>
      </c>
      <c r="Y191" s="4">
        <f t="shared" si="6"/>
        <v>0.20551662346597846</v>
      </c>
      <c r="Z191" s="4">
        <v>132</v>
      </c>
      <c r="AA191" s="4">
        <v>133</v>
      </c>
      <c r="AB191" s="4"/>
      <c r="AC191" s="4"/>
      <c r="AD191" s="4"/>
      <c r="AE191" s="4"/>
      <c r="AF191" s="4"/>
      <c r="AG191" s="4"/>
    </row>
    <row r="192" spans="1:33" x14ac:dyDescent="0.35">
      <c r="A192" t="s">
        <v>45</v>
      </c>
      <c r="F192" s="4"/>
      <c r="G192" s="12" t="s">
        <v>40</v>
      </c>
      <c r="H192" s="18">
        <v>2024</v>
      </c>
      <c r="I192" s="37"/>
      <c r="J192" s="4"/>
      <c r="L192" s="4" t="s">
        <v>268</v>
      </c>
      <c r="M192" s="4" t="s">
        <v>279</v>
      </c>
      <c r="N192" s="4" t="s">
        <v>79</v>
      </c>
      <c r="O192" s="4" t="s">
        <v>308</v>
      </c>
      <c r="P192" s="4" t="s">
        <v>42</v>
      </c>
      <c r="Q192" s="4" t="s">
        <v>192</v>
      </c>
      <c r="S192" s="4"/>
      <c r="T192" s="4">
        <v>0.56000000000000005</v>
      </c>
      <c r="U192" s="4">
        <v>0.38</v>
      </c>
      <c r="V192" s="4">
        <v>0.83</v>
      </c>
      <c r="W192" s="4">
        <f t="shared" si="7"/>
        <v>1.96</v>
      </c>
      <c r="X192" s="4">
        <f t="shared" si="8"/>
        <v>-0.57695680222659951</v>
      </c>
      <c r="Y192" s="4">
        <f t="shared" si="6"/>
        <v>0.19929960409954392</v>
      </c>
      <c r="Z192" s="4">
        <v>179</v>
      </c>
      <c r="AA192" s="4">
        <v>175</v>
      </c>
      <c r="AB192" s="4"/>
      <c r="AC192" s="4"/>
      <c r="AD192" s="4"/>
      <c r="AE192" s="4"/>
      <c r="AF192" s="4"/>
      <c r="AG192" s="4"/>
    </row>
    <row r="193" spans="1:33" x14ac:dyDescent="0.35">
      <c r="A193" t="s">
        <v>45</v>
      </c>
      <c r="F193" s="4"/>
      <c r="G193" s="12" t="s">
        <v>40</v>
      </c>
      <c r="H193" s="18">
        <v>2024</v>
      </c>
      <c r="I193" s="37"/>
      <c r="J193" s="4"/>
      <c r="L193" s="4" t="s">
        <v>268</v>
      </c>
      <c r="M193" s="4" t="s">
        <v>279</v>
      </c>
      <c r="N193" s="4" t="s">
        <v>79</v>
      </c>
      <c r="O193" s="4" t="s">
        <v>81</v>
      </c>
      <c r="P193" s="4" t="s">
        <v>42</v>
      </c>
      <c r="Q193" s="4" t="s">
        <v>192</v>
      </c>
      <c r="S193" s="4"/>
      <c r="T193" s="4">
        <v>0.64</v>
      </c>
      <c r="U193" s="4">
        <v>0.32</v>
      </c>
      <c r="V193" s="4">
        <v>1.26</v>
      </c>
      <c r="W193" s="4">
        <f t="shared" si="7"/>
        <v>1.96</v>
      </c>
      <c r="X193" s="4">
        <f t="shared" si="8"/>
        <v>-0.4541612811124891</v>
      </c>
      <c r="Y193" s="4">
        <f t="shared" si="6"/>
        <v>0.34962908269177334</v>
      </c>
      <c r="Z193" s="4">
        <v>45</v>
      </c>
      <c r="AA193" s="4">
        <v>50</v>
      </c>
      <c r="AB193" s="4"/>
      <c r="AC193" s="4"/>
      <c r="AD193" s="4"/>
      <c r="AE193" s="4"/>
      <c r="AF193" s="4"/>
      <c r="AG193" s="4"/>
    </row>
    <row r="194" spans="1:33" x14ac:dyDescent="0.35">
      <c r="A194" t="s">
        <v>45</v>
      </c>
      <c r="F194" s="4"/>
      <c r="G194" s="12" t="s">
        <v>40</v>
      </c>
      <c r="H194" s="18">
        <v>2024</v>
      </c>
      <c r="I194" s="37"/>
      <c r="J194" s="4"/>
      <c r="L194" s="4" t="s">
        <v>268</v>
      </c>
      <c r="M194" s="4" t="s">
        <v>279</v>
      </c>
      <c r="N194" s="4" t="s">
        <v>101</v>
      </c>
      <c r="O194" s="4" t="s">
        <v>274</v>
      </c>
      <c r="P194" s="4" t="s">
        <v>42</v>
      </c>
      <c r="Q194" s="4" t="s">
        <v>192</v>
      </c>
      <c r="S194" s="4"/>
      <c r="T194" s="4">
        <v>0.8</v>
      </c>
      <c r="U194" s="4">
        <v>0.47</v>
      </c>
      <c r="V194" s="4">
        <v>1.38</v>
      </c>
      <c r="W194" s="4">
        <f t="shared" si="7"/>
        <v>1.96</v>
      </c>
      <c r="X194" s="4">
        <f t="shared" si="8"/>
        <v>-0.2164695425544598</v>
      </c>
      <c r="Y194" s="4">
        <f t="shared" ref="Y194:Y206" si="9">( LN(V194) - LN(U194))/(2*W194)</f>
        <v>0.27477196006304744</v>
      </c>
      <c r="Z194" s="4">
        <v>89</v>
      </c>
      <c r="AA194" s="4">
        <v>84</v>
      </c>
      <c r="AB194" s="4"/>
      <c r="AC194" s="4"/>
      <c r="AD194" s="4"/>
      <c r="AE194" s="4"/>
      <c r="AF194" s="4"/>
      <c r="AG194" s="4"/>
    </row>
    <row r="195" spans="1:33" x14ac:dyDescent="0.35">
      <c r="A195" t="s">
        <v>45</v>
      </c>
      <c r="F195" s="4"/>
      <c r="G195" s="12" t="s">
        <v>40</v>
      </c>
      <c r="H195" s="18">
        <v>2024</v>
      </c>
      <c r="I195" s="37"/>
      <c r="J195" s="4"/>
      <c r="L195" s="4" t="s">
        <v>268</v>
      </c>
      <c r="M195" s="4" t="s">
        <v>279</v>
      </c>
      <c r="N195" s="4" t="s">
        <v>101</v>
      </c>
      <c r="O195" s="4" t="s">
        <v>281</v>
      </c>
      <c r="P195" s="4" t="s">
        <v>42</v>
      </c>
      <c r="Q195" s="4" t="s">
        <v>192</v>
      </c>
      <c r="S195" s="4"/>
      <c r="T195" s="4">
        <v>0.5</v>
      </c>
      <c r="U195" s="4">
        <v>0.32</v>
      </c>
      <c r="V195" s="4">
        <v>0.78</v>
      </c>
      <c r="W195" s="4">
        <f t="shared" ref="W195:W227" si="10">IF(ISBLANK(S195), 1.96, _xlfn.NORM.S.INV((1 + S195/100)/2))</f>
        <v>1.96</v>
      </c>
      <c r="X195" s="4">
        <f t="shared" ref="X195:X206" si="11">(LN(U195) + LN(V195))/2</f>
        <v>-0.69394782124343224</v>
      </c>
      <c r="Y195" s="4">
        <f t="shared" si="9"/>
        <v>0.22728901119639416</v>
      </c>
      <c r="Z195" s="4">
        <v>130</v>
      </c>
      <c r="AA195" s="4">
        <v>132</v>
      </c>
      <c r="AB195" s="4"/>
      <c r="AC195" s="4"/>
      <c r="AD195" s="4"/>
      <c r="AE195" s="4"/>
      <c r="AF195" s="4"/>
      <c r="AG195" s="4"/>
    </row>
    <row r="196" spans="1:33" x14ac:dyDescent="0.35">
      <c r="A196" t="s">
        <v>45</v>
      </c>
      <c r="F196" s="4"/>
      <c r="G196" s="12" t="s">
        <v>40</v>
      </c>
      <c r="H196" s="18">
        <v>2024</v>
      </c>
      <c r="I196" s="37"/>
      <c r="J196" s="4"/>
      <c r="L196" s="4" t="s">
        <v>268</v>
      </c>
      <c r="M196" s="4" t="s">
        <v>279</v>
      </c>
      <c r="N196" s="4" t="s">
        <v>101</v>
      </c>
      <c r="O196" s="4" t="s">
        <v>276</v>
      </c>
      <c r="P196" s="4" t="s">
        <v>42</v>
      </c>
      <c r="Q196" s="4" t="s">
        <v>192</v>
      </c>
      <c r="S196" s="4"/>
      <c r="T196" s="4">
        <v>0.34</v>
      </c>
      <c r="U196" s="4">
        <v>0.17</v>
      </c>
      <c r="V196" s="4">
        <v>0.66</v>
      </c>
      <c r="W196" s="4">
        <f t="shared" si="10"/>
        <v>1.96</v>
      </c>
      <c r="X196" s="4">
        <f t="shared" si="11"/>
        <v>-1.0937361429467705</v>
      </c>
      <c r="Y196" s="4">
        <f t="shared" si="9"/>
        <v>0.34603096886995138</v>
      </c>
      <c r="Z196" s="4">
        <v>59</v>
      </c>
      <c r="AA196" s="4">
        <v>70</v>
      </c>
      <c r="AB196" s="4"/>
      <c r="AC196" s="4"/>
      <c r="AD196" s="4"/>
      <c r="AE196" s="4"/>
      <c r="AF196" s="4"/>
      <c r="AG196" s="4"/>
    </row>
    <row r="197" spans="1:33" x14ac:dyDescent="0.35">
      <c r="A197" t="s">
        <v>45</v>
      </c>
      <c r="F197" s="4"/>
      <c r="G197" s="12" t="s">
        <v>40</v>
      </c>
      <c r="H197" s="18">
        <v>2024</v>
      </c>
      <c r="I197" s="37"/>
      <c r="J197" s="4"/>
      <c r="L197" s="4" t="s">
        <v>268</v>
      </c>
      <c r="M197" s="4" t="s">
        <v>279</v>
      </c>
      <c r="N197" s="4" t="s">
        <v>101</v>
      </c>
      <c r="O197" s="4" t="s">
        <v>277</v>
      </c>
      <c r="P197" s="4" t="s">
        <v>42</v>
      </c>
      <c r="Q197" s="4" t="s">
        <v>192</v>
      </c>
      <c r="S197" s="4"/>
      <c r="T197" s="4">
        <v>0.71</v>
      </c>
      <c r="U197" s="4">
        <v>0.38</v>
      </c>
      <c r="V197" s="4">
        <v>1.34</v>
      </c>
      <c r="W197" s="4">
        <f t="shared" si="10"/>
        <v>1.96</v>
      </c>
      <c r="X197" s="4">
        <f t="shared" si="11"/>
        <v>-0.33745720614944275</v>
      </c>
      <c r="Y197" s="4">
        <f t="shared" si="9"/>
        <v>0.32149327556748103</v>
      </c>
      <c r="Z197" s="4">
        <v>71</v>
      </c>
      <c r="AA197" s="4">
        <v>62</v>
      </c>
      <c r="AB197" s="4"/>
      <c r="AC197" s="4"/>
      <c r="AD197" s="4"/>
      <c r="AE197" s="4"/>
      <c r="AF197" s="4"/>
      <c r="AG197" s="4"/>
    </row>
    <row r="198" spans="1:33" x14ac:dyDescent="0.35">
      <c r="A198" t="s">
        <v>45</v>
      </c>
      <c r="F198" s="4"/>
      <c r="G198" s="12" t="s">
        <v>40</v>
      </c>
      <c r="H198" s="18">
        <v>2024</v>
      </c>
      <c r="I198" s="37"/>
      <c r="J198" s="4"/>
      <c r="L198" s="4" t="s">
        <v>268</v>
      </c>
      <c r="M198" s="4" t="s">
        <v>279</v>
      </c>
      <c r="N198" s="4" t="s">
        <v>73</v>
      </c>
      <c r="O198" s="4" t="s">
        <v>298</v>
      </c>
      <c r="P198" s="4" t="s">
        <v>42</v>
      </c>
      <c r="Q198" s="4" t="s">
        <v>192</v>
      </c>
      <c r="S198" s="4"/>
      <c r="T198" s="4">
        <v>0.61</v>
      </c>
      <c r="U198" s="4">
        <v>0.28000000000000003</v>
      </c>
      <c r="V198" s="4">
        <v>1.34</v>
      </c>
      <c r="W198" s="4">
        <f t="shared" si="10"/>
        <v>1.96</v>
      </c>
      <c r="X198" s="4">
        <f t="shared" si="11"/>
        <v>-0.49014803092503367</v>
      </c>
      <c r="Y198" s="4">
        <f t="shared" si="9"/>
        <v>0.3993967575958437</v>
      </c>
      <c r="Z198" s="4">
        <v>43</v>
      </c>
      <c r="AA198" s="4">
        <v>52</v>
      </c>
      <c r="AB198" s="4"/>
      <c r="AC198" s="4"/>
      <c r="AD198" s="4"/>
      <c r="AE198" s="4"/>
      <c r="AF198" s="4"/>
      <c r="AG198" s="4"/>
    </row>
    <row r="199" spans="1:33" x14ac:dyDescent="0.35">
      <c r="A199" t="s">
        <v>45</v>
      </c>
      <c r="F199" s="4"/>
      <c r="G199" s="12" t="s">
        <v>40</v>
      </c>
      <c r="H199" s="18">
        <v>2024</v>
      </c>
      <c r="I199" s="37"/>
      <c r="J199" s="4"/>
      <c r="L199" s="4" t="s">
        <v>268</v>
      </c>
      <c r="M199" s="4" t="s">
        <v>279</v>
      </c>
      <c r="N199" s="4" t="s">
        <v>73</v>
      </c>
      <c r="O199" s="4" t="s">
        <v>299</v>
      </c>
      <c r="P199" s="4" t="s">
        <v>42</v>
      </c>
      <c r="Q199" s="4" t="s">
        <v>192</v>
      </c>
      <c r="S199" s="4"/>
      <c r="T199" s="4">
        <v>0.54</v>
      </c>
      <c r="U199" s="4">
        <v>0.36</v>
      </c>
      <c r="V199" s="4">
        <v>0.81</v>
      </c>
      <c r="W199" s="4">
        <f t="shared" si="10"/>
        <v>1.96</v>
      </c>
      <c r="X199" s="4">
        <f t="shared" si="11"/>
        <v>-0.61618613942381695</v>
      </c>
      <c r="Y199" s="4">
        <f t="shared" si="9"/>
        <v>0.20686995311641043</v>
      </c>
      <c r="Z199" s="4">
        <v>150</v>
      </c>
      <c r="AA199" s="4">
        <v>138</v>
      </c>
      <c r="AB199" s="4"/>
      <c r="AC199" s="4"/>
      <c r="AD199" s="4"/>
      <c r="AE199" s="4"/>
      <c r="AF199" s="4"/>
      <c r="AG199" s="4"/>
    </row>
    <row r="200" spans="1:33" x14ac:dyDescent="0.35">
      <c r="A200" t="s">
        <v>45</v>
      </c>
      <c r="F200" s="4"/>
      <c r="G200" s="12" t="s">
        <v>40</v>
      </c>
      <c r="H200" s="18">
        <v>2024</v>
      </c>
      <c r="I200" s="37"/>
      <c r="J200" s="4"/>
      <c r="L200" s="4" t="s">
        <v>268</v>
      </c>
      <c r="M200" s="4" t="s">
        <v>279</v>
      </c>
      <c r="N200" s="4" t="s">
        <v>73</v>
      </c>
      <c r="O200" s="4" t="s">
        <v>300</v>
      </c>
      <c r="P200" s="4" t="s">
        <v>42</v>
      </c>
      <c r="Q200" s="4" t="s">
        <v>192</v>
      </c>
      <c r="S200" s="4"/>
      <c r="T200" s="4">
        <v>0.6</v>
      </c>
      <c r="U200" s="4">
        <v>0.24</v>
      </c>
      <c r="V200" s="4">
        <v>1.51</v>
      </c>
      <c r="W200" s="4">
        <f t="shared" si="10"/>
        <v>1.96</v>
      </c>
      <c r="X200" s="4">
        <f t="shared" si="11"/>
        <v>-0.50750335240665645</v>
      </c>
      <c r="Y200" s="4">
        <f t="shared" si="9"/>
        <v>0.46919030777218845</v>
      </c>
      <c r="Z200" s="4">
        <v>33</v>
      </c>
      <c r="AA200" s="4">
        <v>37</v>
      </c>
      <c r="AB200" s="4"/>
      <c r="AC200" s="4"/>
      <c r="AD200" s="4"/>
      <c r="AE200" s="4"/>
      <c r="AF200" s="4"/>
      <c r="AG200" s="4"/>
    </row>
    <row r="201" spans="1:33" x14ac:dyDescent="0.35">
      <c r="A201" t="s">
        <v>45</v>
      </c>
      <c r="D201" s="25" t="s">
        <v>327</v>
      </c>
      <c r="F201" s="23"/>
      <c r="G201" s="11" t="s">
        <v>197</v>
      </c>
      <c r="H201" s="18">
        <v>2023</v>
      </c>
      <c r="I201" s="38" t="s">
        <v>316</v>
      </c>
      <c r="L201" t="s">
        <v>268</v>
      </c>
      <c r="M201" t="s">
        <v>279</v>
      </c>
      <c r="N201" t="s">
        <v>37</v>
      </c>
      <c r="O201" t="s">
        <v>37</v>
      </c>
      <c r="P201" s="4" t="s">
        <v>51</v>
      </c>
      <c r="Q201" s="4" t="s">
        <v>192</v>
      </c>
      <c r="S201" s="4">
        <v>95</v>
      </c>
      <c r="T201">
        <v>0.68</v>
      </c>
      <c r="U201">
        <v>0.49</v>
      </c>
      <c r="V201">
        <v>0.93</v>
      </c>
      <c r="W201" s="4">
        <f t="shared" si="10"/>
        <v>1.9599639845400536</v>
      </c>
      <c r="X201" s="4">
        <f t="shared" si="11"/>
        <v>-0.3929602903561501</v>
      </c>
      <c r="Y201" s="4">
        <f t="shared" si="9"/>
        <v>0.16346708411404853</v>
      </c>
      <c r="Z201">
        <v>179</v>
      </c>
      <c r="AA201">
        <v>179</v>
      </c>
      <c r="AB201">
        <v>358</v>
      </c>
      <c r="AD201">
        <v>41.4</v>
      </c>
    </row>
    <row r="202" spans="1:33" x14ac:dyDescent="0.35">
      <c r="A202" t="s">
        <v>45</v>
      </c>
      <c r="C202">
        <v>38749033</v>
      </c>
      <c r="F202" s="4"/>
      <c r="G202" s="12" t="s">
        <v>90</v>
      </c>
      <c r="H202" s="18">
        <v>2024</v>
      </c>
      <c r="I202" s="37" t="s">
        <v>316</v>
      </c>
      <c r="J202" s="4"/>
      <c r="L202" s="4" t="s">
        <v>268</v>
      </c>
      <c r="M202" s="4" t="s">
        <v>279</v>
      </c>
      <c r="N202" s="4" t="s">
        <v>41</v>
      </c>
      <c r="O202" s="4" t="s">
        <v>37</v>
      </c>
      <c r="P202" s="4" t="s">
        <v>53</v>
      </c>
      <c r="Q202" s="4" t="s">
        <v>192</v>
      </c>
      <c r="S202" s="4">
        <v>97.36</v>
      </c>
      <c r="T202" s="4">
        <v>0.57999999999999996</v>
      </c>
      <c r="U202" s="4">
        <v>0.42</v>
      </c>
      <c r="V202" s="4">
        <v>0.81</v>
      </c>
      <c r="W202" s="4">
        <f t="shared" si="10"/>
        <v>2.2202765609095438</v>
      </c>
      <c r="X202" s="4">
        <f t="shared" si="11"/>
        <v>-0.53911079951018781</v>
      </c>
      <c r="Y202" s="4">
        <f t="shared" si="9"/>
        <v>0.14790489346066388</v>
      </c>
      <c r="Z202" s="4">
        <v>229</v>
      </c>
      <c r="AA202" s="4">
        <v>232</v>
      </c>
      <c r="AB202" s="4">
        <v>461</v>
      </c>
    </row>
    <row r="203" spans="1:33" x14ac:dyDescent="0.35">
      <c r="A203" t="s">
        <v>45</v>
      </c>
      <c r="B203" t="s">
        <v>372</v>
      </c>
      <c r="F203" s="4"/>
      <c r="G203" s="12" t="s">
        <v>24</v>
      </c>
      <c r="H203" s="18">
        <v>2023</v>
      </c>
      <c r="I203" s="37" t="s">
        <v>311</v>
      </c>
      <c r="J203" s="10">
        <v>44771</v>
      </c>
      <c r="K203" s="4">
        <v>36</v>
      </c>
      <c r="L203" s="4" t="s">
        <v>268</v>
      </c>
      <c r="M203" s="4" t="s">
        <v>279</v>
      </c>
      <c r="N203" s="4" t="s">
        <v>37</v>
      </c>
      <c r="O203" s="4" t="s">
        <v>37</v>
      </c>
      <c r="P203" s="4" t="s">
        <v>60</v>
      </c>
      <c r="Q203" s="4" t="s">
        <v>192</v>
      </c>
      <c r="S203" s="4">
        <v>95</v>
      </c>
      <c r="T203" s="4">
        <v>0.57999999999999996</v>
      </c>
      <c r="U203" s="4">
        <v>0.46</v>
      </c>
      <c r="V203" s="4">
        <v>0.72</v>
      </c>
      <c r="W203" s="4">
        <f t="shared" si="10"/>
        <v>1.9599639845400536</v>
      </c>
      <c r="X203" s="4">
        <f t="shared" si="11"/>
        <v>-0.55251642823551617</v>
      </c>
      <c r="Y203" s="4">
        <f t="shared" si="9"/>
        <v>0.11429412123409464</v>
      </c>
      <c r="Z203" s="4">
        <v>397</v>
      </c>
      <c r="AA203" s="4">
        <v>400</v>
      </c>
    </row>
    <row r="204" spans="1:33" x14ac:dyDescent="0.35">
      <c r="A204" t="s">
        <v>45</v>
      </c>
      <c r="F204" s="4" t="s">
        <v>339</v>
      </c>
      <c r="G204" s="12" t="s">
        <v>40</v>
      </c>
      <c r="H204" s="18">
        <v>2024</v>
      </c>
      <c r="I204" s="38" t="s">
        <v>315</v>
      </c>
      <c r="J204" s="10">
        <v>45159</v>
      </c>
      <c r="K204" s="4">
        <v>22</v>
      </c>
      <c r="L204" s="4" t="s">
        <v>268</v>
      </c>
      <c r="M204" s="4" t="s">
        <v>279</v>
      </c>
      <c r="N204" s="4" t="s">
        <v>37</v>
      </c>
      <c r="O204" s="4" t="s">
        <v>37</v>
      </c>
      <c r="P204" s="4" t="s">
        <v>42</v>
      </c>
      <c r="Q204" s="4" t="s">
        <v>192</v>
      </c>
      <c r="S204">
        <v>95</v>
      </c>
      <c r="T204">
        <v>0.56000000000000005</v>
      </c>
      <c r="U204">
        <v>0.4</v>
      </c>
      <c r="V204">
        <v>0.79</v>
      </c>
      <c r="W204" s="4">
        <f t="shared" si="10"/>
        <v>1.9599639845400536</v>
      </c>
      <c r="X204" s="4">
        <f t="shared" si="11"/>
        <v>-0.57600653269761237</v>
      </c>
      <c r="Y204" s="4">
        <f t="shared" si="9"/>
        <v>0.17361757759870131</v>
      </c>
      <c r="Z204" s="4">
        <v>226</v>
      </c>
      <c r="AA204" s="4">
        <v>227</v>
      </c>
    </row>
    <row r="205" spans="1:33" x14ac:dyDescent="0.35">
      <c r="A205" t="s">
        <v>341</v>
      </c>
      <c r="G205" s="11" t="s">
        <v>206</v>
      </c>
      <c r="H205" s="36">
        <v>2023</v>
      </c>
      <c r="I205" s="37" t="s">
        <v>315</v>
      </c>
      <c r="J205" s="24">
        <v>44728</v>
      </c>
      <c r="L205" s="4" t="s">
        <v>268</v>
      </c>
      <c r="M205" s="4" t="s">
        <v>279</v>
      </c>
      <c r="N205" s="4" t="s">
        <v>37</v>
      </c>
      <c r="O205" s="4" t="s">
        <v>37</v>
      </c>
      <c r="P205" s="4" t="s">
        <v>209</v>
      </c>
      <c r="Q205" s="4" t="s">
        <v>340</v>
      </c>
      <c r="S205" s="4">
        <v>95</v>
      </c>
      <c r="T205" s="4">
        <v>0.47</v>
      </c>
      <c r="U205" s="4">
        <v>0.25</v>
      </c>
      <c r="V205" s="4">
        <v>0.88</v>
      </c>
      <c r="W205" s="4">
        <f t="shared" si="10"/>
        <v>1.9599639845400536</v>
      </c>
      <c r="X205" s="22">
        <f t="shared" si="11"/>
        <v>-0.75706386631488776</v>
      </c>
      <c r="Y205" s="22">
        <f t="shared" si="9"/>
        <v>0.32104186595687106</v>
      </c>
      <c r="Z205" s="4">
        <v>57</v>
      </c>
      <c r="AA205" s="4">
        <v>29</v>
      </c>
    </row>
    <row r="206" spans="1:33" x14ac:dyDescent="0.35">
      <c r="A206" t="s">
        <v>341</v>
      </c>
      <c r="G206" s="11" t="s">
        <v>198</v>
      </c>
      <c r="H206" s="36">
        <v>2023</v>
      </c>
      <c r="I206" s="37" t="s">
        <v>334</v>
      </c>
      <c r="L206" s="4" t="s">
        <v>268</v>
      </c>
      <c r="M206" s="4" t="s">
        <v>279</v>
      </c>
      <c r="N206" s="4" t="s">
        <v>37</v>
      </c>
      <c r="O206" s="4" t="s">
        <v>37</v>
      </c>
      <c r="P206" s="4" t="s">
        <v>211</v>
      </c>
      <c r="Q206" s="4" t="s">
        <v>340</v>
      </c>
      <c r="S206" s="4">
        <v>95</v>
      </c>
      <c r="T206" s="4">
        <v>0.52</v>
      </c>
      <c r="U206" s="4">
        <v>0.21</v>
      </c>
      <c r="V206" s="4">
        <v>1.29</v>
      </c>
      <c r="W206" s="4">
        <f t="shared" si="10"/>
        <v>1.9599639845400536</v>
      </c>
      <c r="X206" s="22">
        <f t="shared" si="11"/>
        <v>-0.65300276494554377</v>
      </c>
      <c r="Y206" s="22">
        <f t="shared" si="9"/>
        <v>0.46309268459957054</v>
      </c>
      <c r="Z206" s="4">
        <v>43</v>
      </c>
      <c r="AA206" s="4">
        <v>45</v>
      </c>
    </row>
    <row r="207" spans="1:33" x14ac:dyDescent="0.35">
      <c r="A207" t="s">
        <v>362</v>
      </c>
      <c r="D207" s="25" t="s">
        <v>363</v>
      </c>
      <c r="F207" t="s">
        <v>311</v>
      </c>
      <c r="G207" s="11" t="s">
        <v>343</v>
      </c>
      <c r="H207" s="36">
        <v>2023</v>
      </c>
      <c r="I207" s="38" t="s">
        <v>113</v>
      </c>
      <c r="J207" s="24">
        <v>44728</v>
      </c>
      <c r="K207">
        <v>26.1</v>
      </c>
      <c r="L207" t="s">
        <v>344</v>
      </c>
      <c r="M207" t="s">
        <v>345</v>
      </c>
      <c r="N207" t="s">
        <v>41</v>
      </c>
      <c r="O207" t="s">
        <v>41</v>
      </c>
      <c r="P207" t="s">
        <v>53</v>
      </c>
      <c r="Q207" t="s">
        <v>192</v>
      </c>
      <c r="S207">
        <v>95</v>
      </c>
      <c r="T207">
        <v>0.47</v>
      </c>
      <c r="U207">
        <v>0.25</v>
      </c>
      <c r="V207">
        <v>0.88</v>
      </c>
      <c r="W207" s="4">
        <f t="shared" si="10"/>
        <v>1.9599639845400536</v>
      </c>
      <c r="X207" s="22">
        <f t="shared" ref="X207:X255" si="12">(LN(U207) + LN(V207))/2</f>
        <v>-0.75706386631488776</v>
      </c>
      <c r="Y207" s="22">
        <f t="shared" ref="Y207:Y255" si="13">( LN(V207) - LN(U207))/(2*W207)</f>
        <v>0.32104186595687106</v>
      </c>
      <c r="Z207">
        <v>57</v>
      </c>
      <c r="AA207">
        <v>29</v>
      </c>
      <c r="AB207">
        <v>86</v>
      </c>
      <c r="AE207">
        <v>26.1</v>
      </c>
    </row>
    <row r="208" spans="1:33" x14ac:dyDescent="0.35">
      <c r="A208" t="s">
        <v>362</v>
      </c>
      <c r="D208" t="s">
        <v>364</v>
      </c>
      <c r="F208" t="s">
        <v>311</v>
      </c>
      <c r="G208" s="11" t="s">
        <v>343</v>
      </c>
      <c r="H208" s="36">
        <v>2023</v>
      </c>
      <c r="I208" s="38" t="s">
        <v>113</v>
      </c>
      <c r="J208" s="24">
        <v>44728</v>
      </c>
      <c r="K208">
        <v>26.1</v>
      </c>
      <c r="L208" t="s">
        <v>344</v>
      </c>
      <c r="M208" t="s">
        <v>345</v>
      </c>
      <c r="N208" t="s">
        <v>57</v>
      </c>
      <c r="O208" t="s">
        <v>230</v>
      </c>
      <c r="P208" t="s">
        <v>53</v>
      </c>
      <c r="Q208" t="s">
        <v>192</v>
      </c>
      <c r="S208">
        <v>95</v>
      </c>
      <c r="T208">
        <v>0.51</v>
      </c>
      <c r="U208">
        <v>0.22</v>
      </c>
      <c r="V208">
        <v>1.21</v>
      </c>
      <c r="W208" s="4">
        <f t="shared" si="10"/>
        <v>1.9599639845400536</v>
      </c>
      <c r="X208" s="22">
        <f t="shared" si="12"/>
        <v>-0.66175368651056288</v>
      </c>
      <c r="Y208" s="22">
        <f t="shared" si="13"/>
        <v>0.43489270866333801</v>
      </c>
      <c r="Z208">
        <v>26</v>
      </c>
      <c r="AA208">
        <v>21</v>
      </c>
      <c r="AB208">
        <v>47</v>
      </c>
      <c r="AE208">
        <v>26.1</v>
      </c>
    </row>
    <row r="209" spans="1:31" x14ac:dyDescent="0.35">
      <c r="A209" t="s">
        <v>362</v>
      </c>
      <c r="D209" t="s">
        <v>364</v>
      </c>
      <c r="F209" t="s">
        <v>311</v>
      </c>
      <c r="G209" s="11" t="s">
        <v>343</v>
      </c>
      <c r="H209" s="36">
        <v>2023</v>
      </c>
      <c r="I209" s="38" t="s">
        <v>113</v>
      </c>
      <c r="J209" s="24">
        <v>44728</v>
      </c>
      <c r="K209">
        <v>26.1</v>
      </c>
      <c r="L209" t="s">
        <v>344</v>
      </c>
      <c r="M209" t="s">
        <v>345</v>
      </c>
      <c r="N209" t="s">
        <v>57</v>
      </c>
      <c r="O209" t="s">
        <v>366</v>
      </c>
      <c r="P209" t="s">
        <v>53</v>
      </c>
      <c r="Q209" t="s">
        <v>192</v>
      </c>
      <c r="S209">
        <v>95</v>
      </c>
      <c r="T209">
        <v>0.42</v>
      </c>
      <c r="U209">
        <v>0.17</v>
      </c>
      <c r="V209">
        <v>1.06</v>
      </c>
      <c r="W209" s="4">
        <f t="shared" si="10"/>
        <v>1.9599639845400536</v>
      </c>
      <c r="X209" s="22">
        <f t="shared" si="12"/>
        <v>-0.85684396690394971</v>
      </c>
      <c r="Y209" s="22">
        <f t="shared" si="13"/>
        <v>0.46690290344425678</v>
      </c>
      <c r="Z209">
        <v>31</v>
      </c>
      <c r="AA209">
        <v>8</v>
      </c>
      <c r="AB209">
        <v>39</v>
      </c>
      <c r="AE209">
        <v>26.1</v>
      </c>
    </row>
    <row r="210" spans="1:31" x14ac:dyDescent="0.35">
      <c r="A210" t="s">
        <v>362</v>
      </c>
      <c r="D210" t="s">
        <v>364</v>
      </c>
      <c r="F210" t="s">
        <v>311</v>
      </c>
      <c r="G210" s="11" t="s">
        <v>343</v>
      </c>
      <c r="H210" s="36">
        <v>2023</v>
      </c>
      <c r="I210" s="38" t="s">
        <v>113</v>
      </c>
      <c r="J210" s="24">
        <v>44728</v>
      </c>
      <c r="K210">
        <v>26.1</v>
      </c>
      <c r="L210" t="s">
        <v>344</v>
      </c>
      <c r="M210" t="s">
        <v>345</v>
      </c>
      <c r="N210" t="s">
        <v>346</v>
      </c>
      <c r="O210" t="s">
        <v>347</v>
      </c>
      <c r="P210" t="s">
        <v>53</v>
      </c>
      <c r="Q210" t="s">
        <v>192</v>
      </c>
      <c r="S210">
        <v>95</v>
      </c>
      <c r="T210">
        <v>0.7</v>
      </c>
      <c r="U210">
        <v>0.21</v>
      </c>
      <c r="V210">
        <v>2.2999999999999998</v>
      </c>
      <c r="W210" s="4">
        <f t="shared" si="10"/>
        <v>1.9599639845400536</v>
      </c>
      <c r="X210" s="22">
        <f t="shared" si="12"/>
        <v>-0.36386931266478223</v>
      </c>
      <c r="Y210" s="22">
        <f t="shared" si="13"/>
        <v>0.61061246280029735</v>
      </c>
      <c r="Z210">
        <v>15</v>
      </c>
      <c r="AA210">
        <v>10</v>
      </c>
      <c r="AB210">
        <v>25</v>
      </c>
      <c r="AE210">
        <v>26.1</v>
      </c>
    </row>
    <row r="211" spans="1:31" x14ac:dyDescent="0.35">
      <c r="A211" t="s">
        <v>362</v>
      </c>
      <c r="D211" t="s">
        <v>364</v>
      </c>
      <c r="F211" t="s">
        <v>311</v>
      </c>
      <c r="G211" s="11" t="s">
        <v>343</v>
      </c>
      <c r="H211" s="36">
        <v>2023</v>
      </c>
      <c r="I211" s="38" t="s">
        <v>113</v>
      </c>
      <c r="J211" s="24">
        <v>44728</v>
      </c>
      <c r="K211">
        <v>26.1</v>
      </c>
      <c r="L211" t="s">
        <v>344</v>
      </c>
      <c r="M211" t="s">
        <v>345</v>
      </c>
      <c r="N211" t="s">
        <v>346</v>
      </c>
      <c r="O211" t="s">
        <v>217</v>
      </c>
      <c r="P211" t="s">
        <v>53</v>
      </c>
      <c r="Q211" t="s">
        <v>192</v>
      </c>
      <c r="S211">
        <v>95</v>
      </c>
      <c r="T211">
        <v>0.39</v>
      </c>
      <c r="U211">
        <v>0.19</v>
      </c>
      <c r="V211">
        <v>0.8</v>
      </c>
      <c r="W211" s="4">
        <f t="shared" si="10"/>
        <v>1.9599639845400536</v>
      </c>
      <c r="X211" s="22">
        <f t="shared" si="12"/>
        <v>-0.94193737906793029</v>
      </c>
      <c r="Y211" s="22">
        <f t="shared" si="13"/>
        <v>0.36673828367433015</v>
      </c>
      <c r="Z211">
        <v>42</v>
      </c>
      <c r="AA211">
        <v>19</v>
      </c>
      <c r="AB211">
        <v>61</v>
      </c>
      <c r="AE211">
        <v>26.1</v>
      </c>
    </row>
    <row r="212" spans="1:31" x14ac:dyDescent="0.35">
      <c r="A212" t="s">
        <v>362</v>
      </c>
      <c r="D212" t="s">
        <v>364</v>
      </c>
      <c r="F212" t="s">
        <v>311</v>
      </c>
      <c r="G212" s="11" t="s">
        <v>343</v>
      </c>
      <c r="H212" s="36">
        <v>2023</v>
      </c>
      <c r="I212" s="38" t="s">
        <v>113</v>
      </c>
      <c r="J212" s="24">
        <v>44728</v>
      </c>
      <c r="K212">
        <v>26.1</v>
      </c>
      <c r="L212" t="s">
        <v>344</v>
      </c>
      <c r="M212" t="s">
        <v>345</v>
      </c>
      <c r="N212" t="s">
        <v>348</v>
      </c>
      <c r="O212" t="s">
        <v>349</v>
      </c>
      <c r="P212" t="s">
        <v>53</v>
      </c>
      <c r="Q212" t="s">
        <v>192</v>
      </c>
      <c r="S212">
        <v>95</v>
      </c>
      <c r="T212">
        <v>0.2</v>
      </c>
      <c r="U212">
        <v>0.08</v>
      </c>
      <c r="V212">
        <v>0.53</v>
      </c>
      <c r="W212" s="4">
        <f t="shared" si="10"/>
        <v>1.9599639845400536</v>
      </c>
      <c r="X212" s="22">
        <f t="shared" si="12"/>
        <v>-1.5803034583721125</v>
      </c>
      <c r="Y212" s="22">
        <f t="shared" si="13"/>
        <v>0.48236865238011339</v>
      </c>
      <c r="Z212">
        <v>27</v>
      </c>
      <c r="AA212">
        <v>8</v>
      </c>
      <c r="AB212">
        <v>35</v>
      </c>
      <c r="AE212">
        <v>26.1</v>
      </c>
    </row>
    <row r="213" spans="1:31" x14ac:dyDescent="0.35">
      <c r="A213" t="s">
        <v>362</v>
      </c>
      <c r="D213" t="s">
        <v>364</v>
      </c>
      <c r="F213" t="s">
        <v>311</v>
      </c>
      <c r="G213" s="11" t="s">
        <v>343</v>
      </c>
      <c r="H213" s="36">
        <v>2023</v>
      </c>
      <c r="I213" s="38" t="s">
        <v>113</v>
      </c>
      <c r="J213" s="24">
        <v>44728</v>
      </c>
      <c r="K213">
        <v>26.1</v>
      </c>
      <c r="L213" t="s">
        <v>344</v>
      </c>
      <c r="M213" t="s">
        <v>345</v>
      </c>
      <c r="N213" t="s">
        <v>348</v>
      </c>
      <c r="O213" t="s">
        <v>350</v>
      </c>
      <c r="P213" t="s">
        <v>53</v>
      </c>
      <c r="Q213" t="s">
        <v>192</v>
      </c>
      <c r="S213">
        <v>95</v>
      </c>
      <c r="T213">
        <v>0.56999999999999995</v>
      </c>
      <c r="U213">
        <v>0.25</v>
      </c>
      <c r="V213">
        <v>1.32</v>
      </c>
      <c r="W213" s="4">
        <f t="shared" si="10"/>
        <v>1.9599639845400536</v>
      </c>
      <c r="X213" s="22">
        <f t="shared" si="12"/>
        <v>-0.55433131226080556</v>
      </c>
      <c r="Y213" s="22">
        <f t="shared" si="13"/>
        <v>0.42447874319196865</v>
      </c>
      <c r="Z213">
        <v>30</v>
      </c>
      <c r="AA213">
        <v>21</v>
      </c>
      <c r="AB213">
        <v>51</v>
      </c>
      <c r="AE213">
        <v>26.1</v>
      </c>
    </row>
    <row r="214" spans="1:31" x14ac:dyDescent="0.35">
      <c r="A214" t="s">
        <v>362</v>
      </c>
      <c r="D214" t="s">
        <v>364</v>
      </c>
      <c r="F214" t="s">
        <v>311</v>
      </c>
      <c r="G214" s="11" t="s">
        <v>343</v>
      </c>
      <c r="H214" s="36">
        <v>2023</v>
      </c>
      <c r="I214" s="38" t="s">
        <v>113</v>
      </c>
      <c r="J214" s="24">
        <v>44728</v>
      </c>
      <c r="K214">
        <v>26.1</v>
      </c>
      <c r="L214" t="s">
        <v>344</v>
      </c>
      <c r="M214" t="s">
        <v>345</v>
      </c>
      <c r="N214" t="s">
        <v>351</v>
      </c>
      <c r="O214" t="s">
        <v>311</v>
      </c>
      <c r="P214" t="s">
        <v>53</v>
      </c>
      <c r="Q214" t="s">
        <v>192</v>
      </c>
      <c r="S214">
        <v>95</v>
      </c>
      <c r="T214">
        <v>0.31</v>
      </c>
      <c r="U214">
        <v>0.06</v>
      </c>
      <c r="V214">
        <v>1.47</v>
      </c>
      <c r="W214" s="4">
        <f t="shared" si="10"/>
        <v>1.9599639845400536</v>
      </c>
      <c r="X214" s="22">
        <f t="shared" si="12"/>
        <v>-1.2140741579846956</v>
      </c>
      <c r="Y214" s="22">
        <f t="shared" si="13"/>
        <v>0.81600303443874678</v>
      </c>
      <c r="Z214">
        <v>4</v>
      </c>
      <c r="AA214">
        <v>9</v>
      </c>
      <c r="AB214">
        <v>13</v>
      </c>
      <c r="AE214">
        <v>26.1</v>
      </c>
    </row>
    <row r="215" spans="1:31" x14ac:dyDescent="0.35">
      <c r="A215" t="s">
        <v>362</v>
      </c>
      <c r="D215" t="s">
        <v>364</v>
      </c>
      <c r="F215" t="s">
        <v>311</v>
      </c>
      <c r="G215" s="11" t="s">
        <v>343</v>
      </c>
      <c r="H215" s="36">
        <v>2023</v>
      </c>
      <c r="I215" s="38" t="s">
        <v>113</v>
      </c>
      <c r="J215" s="24">
        <v>44728</v>
      </c>
      <c r="K215">
        <v>26.1</v>
      </c>
      <c r="L215" t="s">
        <v>344</v>
      </c>
      <c r="M215" t="s">
        <v>345</v>
      </c>
      <c r="N215" t="s">
        <v>351</v>
      </c>
      <c r="O215" t="s">
        <v>113</v>
      </c>
      <c r="P215" t="s">
        <v>53</v>
      </c>
      <c r="Q215" t="s">
        <v>192</v>
      </c>
      <c r="S215">
        <v>95</v>
      </c>
      <c r="T215">
        <v>0.66</v>
      </c>
      <c r="U215">
        <v>0.31</v>
      </c>
      <c r="V215">
        <v>1.42</v>
      </c>
      <c r="W215" s="4">
        <f t="shared" si="10"/>
        <v>1.9599639845400536</v>
      </c>
      <c r="X215" s="22">
        <f t="shared" si="12"/>
        <v>-0.41026305494488791</v>
      </c>
      <c r="Y215" s="22">
        <f t="shared" si="13"/>
        <v>0.38823158617204023</v>
      </c>
      <c r="Z215">
        <v>53</v>
      </c>
      <c r="AA215">
        <v>20</v>
      </c>
      <c r="AB215">
        <v>73</v>
      </c>
      <c r="AE215">
        <v>26.1</v>
      </c>
    </row>
    <row r="216" spans="1:31" x14ac:dyDescent="0.35">
      <c r="A216" t="s">
        <v>362</v>
      </c>
      <c r="D216" t="s">
        <v>364</v>
      </c>
      <c r="F216" t="s">
        <v>311</v>
      </c>
      <c r="G216" s="11" t="s">
        <v>343</v>
      </c>
      <c r="H216" s="36">
        <v>2023</v>
      </c>
      <c r="I216" s="38" t="s">
        <v>113</v>
      </c>
      <c r="J216" s="24">
        <v>44728</v>
      </c>
      <c r="K216">
        <v>26.1</v>
      </c>
      <c r="L216" t="s">
        <v>344</v>
      </c>
      <c r="M216" t="s">
        <v>345</v>
      </c>
      <c r="N216" t="s">
        <v>352</v>
      </c>
      <c r="O216" t="s">
        <v>308</v>
      </c>
      <c r="P216" t="s">
        <v>53</v>
      </c>
      <c r="Q216" t="s">
        <v>192</v>
      </c>
      <c r="S216">
        <v>95</v>
      </c>
      <c r="T216">
        <v>0.35</v>
      </c>
      <c r="U216">
        <v>0.15</v>
      </c>
      <c r="V216">
        <v>0.81</v>
      </c>
      <c r="W216" s="4">
        <f t="shared" si="10"/>
        <v>1.9599639845400536</v>
      </c>
      <c r="X216" s="22">
        <f t="shared" si="12"/>
        <v>-1.053920508100767</v>
      </c>
      <c r="Y216" s="22">
        <f t="shared" si="13"/>
        <v>0.43021171992759283</v>
      </c>
      <c r="Z216">
        <v>36</v>
      </c>
      <c r="AA216">
        <v>15</v>
      </c>
      <c r="AB216">
        <v>51</v>
      </c>
      <c r="AE216">
        <v>26.1</v>
      </c>
    </row>
    <row r="217" spans="1:31" x14ac:dyDescent="0.35">
      <c r="A217" t="s">
        <v>362</v>
      </c>
      <c r="D217" t="s">
        <v>364</v>
      </c>
      <c r="F217" t="s">
        <v>311</v>
      </c>
      <c r="G217" s="11" t="s">
        <v>343</v>
      </c>
      <c r="H217" s="36">
        <v>2023</v>
      </c>
      <c r="I217" s="38" t="s">
        <v>113</v>
      </c>
      <c r="J217" s="24">
        <v>44728</v>
      </c>
      <c r="K217">
        <v>26.1</v>
      </c>
      <c r="L217" t="s">
        <v>344</v>
      </c>
      <c r="M217" t="s">
        <v>345</v>
      </c>
      <c r="N217" t="s">
        <v>352</v>
      </c>
      <c r="O217" t="s">
        <v>81</v>
      </c>
      <c r="P217" t="s">
        <v>53</v>
      </c>
      <c r="Q217" t="s">
        <v>192</v>
      </c>
      <c r="S217">
        <v>95</v>
      </c>
      <c r="T217">
        <v>0.63</v>
      </c>
      <c r="U217">
        <v>0.24</v>
      </c>
      <c r="V217">
        <v>1.63</v>
      </c>
      <c r="W217" s="4">
        <f t="shared" si="10"/>
        <v>1.9599639845400536</v>
      </c>
      <c r="X217" s="22">
        <f t="shared" si="12"/>
        <v>-0.46926817041073743</v>
      </c>
      <c r="Y217" s="22">
        <f t="shared" si="13"/>
        <v>0.48870703379490282</v>
      </c>
      <c r="Z217">
        <v>21</v>
      </c>
      <c r="AA217">
        <v>14</v>
      </c>
      <c r="AB217">
        <v>35</v>
      </c>
      <c r="AE217">
        <v>26.1</v>
      </c>
    </row>
    <row r="218" spans="1:31" x14ac:dyDescent="0.35">
      <c r="A218" t="s">
        <v>362</v>
      </c>
      <c r="D218" t="s">
        <v>364</v>
      </c>
      <c r="F218" t="s">
        <v>311</v>
      </c>
      <c r="G218" s="11" t="s">
        <v>343</v>
      </c>
      <c r="H218" s="36">
        <v>2023</v>
      </c>
      <c r="I218" s="38" t="s">
        <v>113</v>
      </c>
      <c r="J218" s="24">
        <v>44728</v>
      </c>
      <c r="K218">
        <v>26.1</v>
      </c>
      <c r="L218" t="s">
        <v>344</v>
      </c>
      <c r="M218" t="s">
        <v>345</v>
      </c>
      <c r="N218" t="s">
        <v>353</v>
      </c>
      <c r="O218" t="s">
        <v>286</v>
      </c>
      <c r="P218" t="s">
        <v>53</v>
      </c>
      <c r="Q218" t="s">
        <v>192</v>
      </c>
      <c r="S218">
        <v>95</v>
      </c>
      <c r="T218">
        <v>0.48</v>
      </c>
      <c r="U218">
        <v>0.09</v>
      </c>
      <c r="V218">
        <v>2.4900000000000002</v>
      </c>
      <c r="W218" s="4">
        <f t="shared" si="10"/>
        <v>1.9599639845400536</v>
      </c>
      <c r="X218" s="22">
        <f t="shared" si="12"/>
        <v>-0.74783144908762789</v>
      </c>
      <c r="Y218" s="22">
        <f t="shared" si="13"/>
        <v>0.84701258424083992</v>
      </c>
      <c r="Z218">
        <v>6</v>
      </c>
      <c r="AA218">
        <v>9</v>
      </c>
      <c r="AB218">
        <v>15</v>
      </c>
      <c r="AE218">
        <v>26.1</v>
      </c>
    </row>
    <row r="219" spans="1:31" x14ac:dyDescent="0.35">
      <c r="A219" t="s">
        <v>362</v>
      </c>
      <c r="D219" t="s">
        <v>364</v>
      </c>
      <c r="F219" t="s">
        <v>311</v>
      </c>
      <c r="G219" s="11" t="s">
        <v>343</v>
      </c>
      <c r="H219" s="36">
        <v>2023</v>
      </c>
      <c r="I219" s="38" t="s">
        <v>113</v>
      </c>
      <c r="J219" s="24">
        <v>44728</v>
      </c>
      <c r="K219">
        <v>26.1</v>
      </c>
      <c r="L219" t="s">
        <v>344</v>
      </c>
      <c r="M219" t="s">
        <v>345</v>
      </c>
      <c r="N219" t="s">
        <v>353</v>
      </c>
      <c r="O219" t="s">
        <v>287</v>
      </c>
      <c r="P219" t="s">
        <v>53</v>
      </c>
      <c r="Q219" t="s">
        <v>192</v>
      </c>
      <c r="S219">
        <v>95</v>
      </c>
      <c r="T219">
        <v>7.0000000000000007E-2</v>
      </c>
      <c r="U219">
        <v>0.01</v>
      </c>
      <c r="V219">
        <v>0.69</v>
      </c>
      <c r="W219" s="4">
        <f t="shared" si="10"/>
        <v>1.9599639845400536</v>
      </c>
      <c r="X219" s="22">
        <f t="shared" si="12"/>
        <v>-2.4881169336894615</v>
      </c>
      <c r="Y219" s="22">
        <f t="shared" si="13"/>
        <v>1.0801490583488655</v>
      </c>
      <c r="Z219">
        <v>10</v>
      </c>
      <c r="AA219">
        <v>4</v>
      </c>
      <c r="AB219">
        <v>14</v>
      </c>
      <c r="AE219">
        <v>26.1</v>
      </c>
    </row>
    <row r="220" spans="1:31" x14ac:dyDescent="0.35">
      <c r="A220" t="s">
        <v>362</v>
      </c>
      <c r="D220" t="s">
        <v>364</v>
      </c>
      <c r="F220" t="s">
        <v>311</v>
      </c>
      <c r="G220" s="11" t="s">
        <v>343</v>
      </c>
      <c r="H220" s="36">
        <v>2023</v>
      </c>
      <c r="I220" s="38" t="s">
        <v>113</v>
      </c>
      <c r="J220" s="24">
        <v>44728</v>
      </c>
      <c r="K220">
        <v>26.1</v>
      </c>
      <c r="L220" t="s">
        <v>344</v>
      </c>
      <c r="M220" t="s">
        <v>345</v>
      </c>
      <c r="N220" t="s">
        <v>353</v>
      </c>
      <c r="O220" t="s">
        <v>223</v>
      </c>
      <c r="P220" t="s">
        <v>53</v>
      </c>
      <c r="Q220" t="s">
        <v>192</v>
      </c>
      <c r="S220">
        <v>95</v>
      </c>
      <c r="T220">
        <v>0.39</v>
      </c>
      <c r="U220">
        <v>0.16</v>
      </c>
      <c r="V220">
        <v>0.94</v>
      </c>
      <c r="W220" s="4">
        <f t="shared" si="10"/>
        <v>1.9599639845400536</v>
      </c>
      <c r="X220" s="22">
        <f t="shared" si="12"/>
        <v>-0.94722843373319887</v>
      </c>
      <c r="Y220" s="22">
        <f t="shared" si="13"/>
        <v>0.45171903004272695</v>
      </c>
      <c r="Z220">
        <v>22</v>
      </c>
      <c r="AA220">
        <v>11</v>
      </c>
      <c r="AB220">
        <v>33</v>
      </c>
      <c r="AE220">
        <v>26.1</v>
      </c>
    </row>
    <row r="221" spans="1:31" x14ac:dyDescent="0.35">
      <c r="A221" t="s">
        <v>362</v>
      </c>
      <c r="D221" t="s">
        <v>364</v>
      </c>
      <c r="F221" t="s">
        <v>311</v>
      </c>
      <c r="G221" s="11" t="s">
        <v>343</v>
      </c>
      <c r="H221" s="36">
        <v>2023</v>
      </c>
      <c r="I221" s="38" t="s">
        <v>113</v>
      </c>
      <c r="J221" s="24">
        <v>44728</v>
      </c>
      <c r="K221">
        <v>26.1</v>
      </c>
      <c r="L221" t="s">
        <v>344</v>
      </c>
      <c r="M221" t="s">
        <v>345</v>
      </c>
      <c r="N221" t="s">
        <v>353</v>
      </c>
      <c r="O221" t="s">
        <v>222</v>
      </c>
      <c r="P221" t="s">
        <v>53</v>
      </c>
      <c r="Q221" t="s">
        <v>192</v>
      </c>
      <c r="S221">
        <v>95</v>
      </c>
      <c r="T221">
        <v>2.4300000000000002</v>
      </c>
      <c r="U221">
        <v>0.3</v>
      </c>
      <c r="V221">
        <v>19.46</v>
      </c>
      <c r="W221" s="4">
        <f t="shared" si="10"/>
        <v>1.9599639845400536</v>
      </c>
      <c r="X221" s="22">
        <f t="shared" si="12"/>
        <v>0.88219413621596143</v>
      </c>
      <c r="Y221" s="22">
        <f t="shared" si="13"/>
        <v>1.0643904464558109</v>
      </c>
      <c r="Z221">
        <v>19</v>
      </c>
      <c r="AA221">
        <v>5</v>
      </c>
      <c r="AB221">
        <v>24</v>
      </c>
      <c r="AE221">
        <v>26.1</v>
      </c>
    </row>
    <row r="222" spans="1:31" x14ac:dyDescent="0.35">
      <c r="A222" t="s">
        <v>362</v>
      </c>
      <c r="D222" t="s">
        <v>364</v>
      </c>
      <c r="F222" t="s">
        <v>311</v>
      </c>
      <c r="G222" s="11" t="s">
        <v>343</v>
      </c>
      <c r="H222" s="36">
        <v>2023</v>
      </c>
      <c r="I222" s="38" t="s">
        <v>113</v>
      </c>
      <c r="J222" s="24">
        <v>44728</v>
      </c>
      <c r="K222">
        <v>26.1</v>
      </c>
      <c r="L222" t="s">
        <v>344</v>
      </c>
      <c r="M222" t="s">
        <v>345</v>
      </c>
      <c r="N222" t="s">
        <v>354</v>
      </c>
      <c r="O222" t="s">
        <v>355</v>
      </c>
      <c r="P222" t="s">
        <v>53</v>
      </c>
      <c r="Q222" t="s">
        <v>192</v>
      </c>
      <c r="S222">
        <v>95</v>
      </c>
      <c r="T222">
        <v>0.66</v>
      </c>
      <c r="U222">
        <v>0.31</v>
      </c>
      <c r="V222">
        <v>1.41</v>
      </c>
      <c r="W222" s="4">
        <f t="shared" si="10"/>
        <v>1.9599639845400536</v>
      </c>
      <c r="X222" s="22">
        <f t="shared" si="12"/>
        <v>-0.41379663855643412</v>
      </c>
      <c r="Y222" s="22">
        <f t="shared" si="13"/>
        <v>0.38642870426226095</v>
      </c>
      <c r="Z222">
        <v>43</v>
      </c>
      <c r="AA222">
        <v>17</v>
      </c>
      <c r="AB222">
        <v>60</v>
      </c>
      <c r="AE222">
        <v>26.1</v>
      </c>
    </row>
    <row r="223" spans="1:31" x14ac:dyDescent="0.35">
      <c r="A223" t="s">
        <v>362</v>
      </c>
      <c r="D223" t="s">
        <v>364</v>
      </c>
      <c r="F223" t="s">
        <v>311</v>
      </c>
      <c r="G223" s="11" t="s">
        <v>343</v>
      </c>
      <c r="H223" s="36">
        <v>2023</v>
      </c>
      <c r="I223" s="38" t="s">
        <v>113</v>
      </c>
      <c r="J223" s="24">
        <v>44728</v>
      </c>
      <c r="K223">
        <v>26.1</v>
      </c>
      <c r="L223" t="s">
        <v>344</v>
      </c>
      <c r="M223" t="s">
        <v>345</v>
      </c>
      <c r="N223" t="s">
        <v>354</v>
      </c>
      <c r="O223" t="s">
        <v>356</v>
      </c>
      <c r="P223" t="s">
        <v>53</v>
      </c>
      <c r="Q223" t="s">
        <v>192</v>
      </c>
      <c r="S223">
        <v>95</v>
      </c>
      <c r="T223">
        <v>0.13</v>
      </c>
      <c r="U223">
        <v>0.03</v>
      </c>
      <c r="V223">
        <v>0.63</v>
      </c>
      <c r="W223" s="4">
        <f t="shared" si="10"/>
        <v>1.9599639845400536</v>
      </c>
      <c r="X223" s="22">
        <f t="shared" si="12"/>
        <v>-1.9842966784582703</v>
      </c>
      <c r="Y223" s="22">
        <f t="shared" si="13"/>
        <v>0.77667815881777125</v>
      </c>
      <c r="Z223">
        <v>14</v>
      </c>
      <c r="AA223">
        <v>12</v>
      </c>
      <c r="AB223">
        <v>26</v>
      </c>
      <c r="AE223">
        <v>26.1</v>
      </c>
    </row>
    <row r="224" spans="1:31" x14ac:dyDescent="0.35">
      <c r="A224" t="s">
        <v>362</v>
      </c>
      <c r="D224" t="s">
        <v>364</v>
      </c>
      <c r="F224" t="s">
        <v>311</v>
      </c>
      <c r="G224" s="11" t="s">
        <v>343</v>
      </c>
      <c r="H224" s="36">
        <v>2023</v>
      </c>
      <c r="I224" s="38" t="s">
        <v>113</v>
      </c>
      <c r="J224" s="24">
        <v>44728</v>
      </c>
      <c r="K224">
        <v>26.1</v>
      </c>
      <c r="L224" t="s">
        <v>344</v>
      </c>
      <c r="M224" t="s">
        <v>345</v>
      </c>
      <c r="N224" t="s">
        <v>365</v>
      </c>
      <c r="O224" t="e">
        <f>+ (鈮?%)</f>
        <v>#NAME?</v>
      </c>
      <c r="P224" t="s">
        <v>53</v>
      </c>
      <c r="Q224" t="s">
        <v>192</v>
      </c>
      <c r="S224">
        <v>95</v>
      </c>
      <c r="T224">
        <v>0.22</v>
      </c>
      <c r="U224">
        <v>0.08</v>
      </c>
      <c r="V224">
        <v>0.57999999999999996</v>
      </c>
      <c r="W224" s="4">
        <f t="shared" si="10"/>
        <v>1.9599639845400536</v>
      </c>
      <c r="X224" s="22">
        <f t="shared" si="12"/>
        <v>-1.5352279098749639</v>
      </c>
      <c r="Y224" s="22">
        <f t="shared" si="13"/>
        <v>0.50536680380161847</v>
      </c>
      <c r="Z224">
        <v>30</v>
      </c>
      <c r="AA224">
        <v>15</v>
      </c>
      <c r="AB224">
        <v>45</v>
      </c>
      <c r="AE224">
        <v>26.1</v>
      </c>
    </row>
    <row r="225" spans="1:33" x14ac:dyDescent="0.35">
      <c r="A225" t="s">
        <v>362</v>
      </c>
      <c r="D225" t="s">
        <v>364</v>
      </c>
      <c r="F225" t="s">
        <v>311</v>
      </c>
      <c r="G225" s="11" t="s">
        <v>343</v>
      </c>
      <c r="H225" s="36">
        <v>2023</v>
      </c>
      <c r="I225" s="38" t="s">
        <v>113</v>
      </c>
      <c r="J225" s="24">
        <v>44728</v>
      </c>
      <c r="K225">
        <v>26.1</v>
      </c>
      <c r="L225" t="s">
        <v>344</v>
      </c>
      <c r="M225" t="s">
        <v>345</v>
      </c>
      <c r="N225" t="s">
        <v>365</v>
      </c>
      <c r="O225" t="s">
        <v>357</v>
      </c>
      <c r="P225" t="s">
        <v>53</v>
      </c>
      <c r="Q225" t="s">
        <v>192</v>
      </c>
      <c r="S225">
        <v>95</v>
      </c>
      <c r="T225">
        <v>0.85</v>
      </c>
      <c r="U225">
        <v>0.3</v>
      </c>
      <c r="V225">
        <v>2.42</v>
      </c>
      <c r="W225" s="4">
        <f t="shared" si="10"/>
        <v>1.9599639845400536</v>
      </c>
      <c r="X225" s="22">
        <f t="shared" si="12"/>
        <v>-0.16010263207867054</v>
      </c>
      <c r="Y225" s="22">
        <f t="shared" si="13"/>
        <v>0.53259660916281149</v>
      </c>
      <c r="Z225">
        <v>20</v>
      </c>
      <c r="AA225">
        <v>8</v>
      </c>
      <c r="AB225">
        <v>28</v>
      </c>
      <c r="AE225">
        <v>26.1</v>
      </c>
    </row>
    <row r="226" spans="1:33" x14ac:dyDescent="0.35">
      <c r="A226" t="s">
        <v>362</v>
      </c>
      <c r="D226" t="s">
        <v>364</v>
      </c>
      <c r="F226" t="s">
        <v>311</v>
      </c>
      <c r="G226" s="11" t="s">
        <v>343</v>
      </c>
      <c r="H226" s="36">
        <v>2023</v>
      </c>
      <c r="I226" s="38" t="s">
        <v>113</v>
      </c>
      <c r="J226" s="24">
        <v>44728</v>
      </c>
      <c r="K226">
        <v>26.1</v>
      </c>
      <c r="L226" t="s">
        <v>344</v>
      </c>
      <c r="M226" t="s">
        <v>345</v>
      </c>
      <c r="N226" t="s">
        <v>358</v>
      </c>
      <c r="O226" t="s">
        <v>359</v>
      </c>
      <c r="P226" t="s">
        <v>53</v>
      </c>
      <c r="Q226" t="s">
        <v>192</v>
      </c>
      <c r="S226">
        <v>95</v>
      </c>
      <c r="T226">
        <v>1.01</v>
      </c>
      <c r="U226">
        <v>0</v>
      </c>
      <c r="V226" t="s">
        <v>360</v>
      </c>
      <c r="W226" s="4">
        <f t="shared" si="10"/>
        <v>1.9599639845400536</v>
      </c>
      <c r="X226" s="22" t="e">
        <f t="shared" si="12"/>
        <v>#NUM!</v>
      </c>
      <c r="Y226" s="22" t="e">
        <f t="shared" si="13"/>
        <v>#VALUE!</v>
      </c>
      <c r="Z226">
        <v>21</v>
      </c>
      <c r="AA226">
        <v>2</v>
      </c>
      <c r="AB226">
        <v>23</v>
      </c>
      <c r="AE226">
        <v>26.1</v>
      </c>
    </row>
    <row r="227" spans="1:33" x14ac:dyDescent="0.35">
      <c r="A227" t="s">
        <v>362</v>
      </c>
      <c r="D227" t="s">
        <v>364</v>
      </c>
      <c r="F227" t="s">
        <v>311</v>
      </c>
      <c r="G227" s="11" t="s">
        <v>343</v>
      </c>
      <c r="H227" s="36">
        <v>2023</v>
      </c>
      <c r="I227" s="38" t="s">
        <v>113</v>
      </c>
      <c r="J227" s="24">
        <v>44728</v>
      </c>
      <c r="K227">
        <v>26.1</v>
      </c>
      <c r="L227" t="s">
        <v>344</v>
      </c>
      <c r="M227" t="s">
        <v>345</v>
      </c>
      <c r="N227" t="s">
        <v>358</v>
      </c>
      <c r="O227" t="s">
        <v>361</v>
      </c>
      <c r="P227" t="s">
        <v>53</v>
      </c>
      <c r="Q227" t="s">
        <v>192</v>
      </c>
      <c r="S227">
        <v>95</v>
      </c>
      <c r="T227">
        <v>0.71</v>
      </c>
      <c r="U227">
        <v>0.38</v>
      </c>
      <c r="V227">
        <v>1.32</v>
      </c>
      <c r="W227" s="4">
        <f t="shared" si="10"/>
        <v>1.9599639845400536</v>
      </c>
      <c r="X227" s="22">
        <f t="shared" si="12"/>
        <v>-0.34497614483171302</v>
      </c>
      <c r="Y227" s="22">
        <f t="shared" si="13"/>
        <v>0.31766291949293163</v>
      </c>
      <c r="Z227">
        <v>36</v>
      </c>
      <c r="AA227">
        <v>27</v>
      </c>
      <c r="AB227">
        <v>63</v>
      </c>
      <c r="AE227">
        <v>26.1</v>
      </c>
    </row>
    <row r="228" spans="1:33" x14ac:dyDescent="0.35">
      <c r="A228" t="s">
        <v>382</v>
      </c>
      <c r="B228" t="s">
        <v>381</v>
      </c>
      <c r="C228" t="s">
        <v>381</v>
      </c>
      <c r="D228" t="s">
        <v>381</v>
      </c>
      <c r="E228" t="s">
        <v>381</v>
      </c>
      <c r="F228" t="s">
        <v>381</v>
      </c>
      <c r="G228" s="11" t="s">
        <v>24</v>
      </c>
      <c r="H228" s="36">
        <v>2023</v>
      </c>
      <c r="I228" s="38" t="s">
        <v>381</v>
      </c>
      <c r="J228" t="s">
        <v>381</v>
      </c>
      <c r="K228" t="s">
        <v>381</v>
      </c>
      <c r="L228" t="s">
        <v>344</v>
      </c>
      <c r="M228" t="s">
        <v>345</v>
      </c>
      <c r="N228" t="s">
        <v>57</v>
      </c>
      <c r="O228" t="s">
        <v>230</v>
      </c>
      <c r="P228" s="4" t="s">
        <v>60</v>
      </c>
      <c r="Q228" s="4" t="s">
        <v>192</v>
      </c>
      <c r="S228">
        <v>95</v>
      </c>
      <c r="T228">
        <v>0.53</v>
      </c>
      <c r="U228">
        <v>0.39</v>
      </c>
      <c r="V228">
        <v>0.71</v>
      </c>
      <c r="W228" s="4">
        <f t="shared" ref="W228:W255" si="14">IF(ISBLANK(S228), 1.96, _xlfn.NORM.S.INV((1 + S228/100)/2))</f>
        <v>1.9599639845400536</v>
      </c>
      <c r="X228" s="4">
        <f t="shared" si="12"/>
        <v>-0.64204942440261048</v>
      </c>
      <c r="Y228" s="4">
        <f t="shared" si="13"/>
        <v>0.15283909185001288</v>
      </c>
      <c r="Z228">
        <v>221</v>
      </c>
      <c r="AA228">
        <v>214</v>
      </c>
      <c r="AB228">
        <v>435</v>
      </c>
      <c r="AC228" t="s">
        <v>381</v>
      </c>
      <c r="AD228" t="s">
        <v>381</v>
      </c>
      <c r="AE228" t="s">
        <v>381</v>
      </c>
      <c r="AF228" t="s">
        <v>381</v>
      </c>
      <c r="AG228" t="s">
        <v>381</v>
      </c>
    </row>
    <row r="229" spans="1:33" x14ac:dyDescent="0.35">
      <c r="A229" t="s">
        <v>382</v>
      </c>
      <c r="B229" t="s">
        <v>381</v>
      </c>
      <c r="C229" t="s">
        <v>381</v>
      </c>
      <c r="D229" t="s">
        <v>381</v>
      </c>
      <c r="E229" t="s">
        <v>381</v>
      </c>
      <c r="F229" t="s">
        <v>381</v>
      </c>
      <c r="G229" s="11" t="s">
        <v>24</v>
      </c>
      <c r="H229" s="36">
        <v>2023</v>
      </c>
      <c r="I229" s="38" t="s">
        <v>381</v>
      </c>
      <c r="J229" t="s">
        <v>381</v>
      </c>
      <c r="K229" t="s">
        <v>381</v>
      </c>
      <c r="L229" t="s">
        <v>344</v>
      </c>
      <c r="M229" t="s">
        <v>345</v>
      </c>
      <c r="N229" t="s">
        <v>57</v>
      </c>
      <c r="O229" t="s">
        <v>383</v>
      </c>
      <c r="P229" s="4" t="s">
        <v>60</v>
      </c>
      <c r="Q229" s="4" t="s">
        <v>192</v>
      </c>
      <c r="S229">
        <v>95</v>
      </c>
      <c r="T229">
        <v>0.64</v>
      </c>
      <c r="U229">
        <v>0.46</v>
      </c>
      <c r="V229">
        <v>0.88</v>
      </c>
      <c r="W229" s="4">
        <f t="shared" si="14"/>
        <v>1.9599639845400536</v>
      </c>
      <c r="X229" s="4">
        <f t="shared" si="12"/>
        <v>-0.45218108050444061</v>
      </c>
      <c r="Y229" s="4">
        <f t="shared" si="13"/>
        <v>0.16548656585170396</v>
      </c>
      <c r="Z229">
        <v>176</v>
      </c>
      <c r="AA229">
        <v>186</v>
      </c>
      <c r="AB229">
        <v>362</v>
      </c>
      <c r="AC229" t="s">
        <v>381</v>
      </c>
      <c r="AD229" t="s">
        <v>381</v>
      </c>
      <c r="AE229" t="s">
        <v>381</v>
      </c>
      <c r="AF229" t="s">
        <v>381</v>
      </c>
      <c r="AG229" t="s">
        <v>381</v>
      </c>
    </row>
    <row r="230" spans="1:33" x14ac:dyDescent="0.35">
      <c r="A230" t="s">
        <v>382</v>
      </c>
      <c r="B230" t="s">
        <v>381</v>
      </c>
      <c r="C230" t="s">
        <v>381</v>
      </c>
      <c r="D230" t="s">
        <v>381</v>
      </c>
      <c r="E230" t="s">
        <v>381</v>
      </c>
      <c r="F230" t="s">
        <v>381</v>
      </c>
      <c r="G230" s="11" t="s">
        <v>24</v>
      </c>
      <c r="H230" s="36">
        <v>2023</v>
      </c>
      <c r="I230" s="38" t="s">
        <v>381</v>
      </c>
      <c r="J230" t="s">
        <v>381</v>
      </c>
      <c r="K230" t="s">
        <v>381</v>
      </c>
      <c r="L230" t="s">
        <v>344</v>
      </c>
      <c r="M230" t="s">
        <v>345</v>
      </c>
      <c r="N230" t="s">
        <v>58</v>
      </c>
      <c r="O230" t="s">
        <v>59</v>
      </c>
      <c r="P230" s="4" t="s">
        <v>60</v>
      </c>
      <c r="Q230" s="4" t="s">
        <v>192</v>
      </c>
      <c r="S230">
        <v>95</v>
      </c>
      <c r="T230">
        <v>0.44</v>
      </c>
      <c r="U230">
        <v>0.28000000000000003</v>
      </c>
      <c r="V230">
        <v>0.68</v>
      </c>
      <c r="W230" s="4">
        <f t="shared" si="14"/>
        <v>1.9599639845400536</v>
      </c>
      <c r="X230" s="4">
        <f t="shared" si="12"/>
        <v>-0.82931407831243598</v>
      </c>
      <c r="Y230" s="4">
        <f t="shared" si="13"/>
        <v>0.2263570152308505</v>
      </c>
      <c r="Z230">
        <v>118</v>
      </c>
      <c r="AA230">
        <v>116</v>
      </c>
      <c r="AB230">
        <v>234</v>
      </c>
      <c r="AC230" t="s">
        <v>381</v>
      </c>
      <c r="AD230" t="s">
        <v>381</v>
      </c>
      <c r="AE230" t="s">
        <v>381</v>
      </c>
      <c r="AF230" t="s">
        <v>381</v>
      </c>
      <c r="AG230" t="s">
        <v>381</v>
      </c>
    </row>
    <row r="231" spans="1:33" x14ac:dyDescent="0.35">
      <c r="A231" t="s">
        <v>382</v>
      </c>
      <c r="B231" t="s">
        <v>381</v>
      </c>
      <c r="C231" t="s">
        <v>381</v>
      </c>
      <c r="D231" t="s">
        <v>381</v>
      </c>
      <c r="E231" t="s">
        <v>381</v>
      </c>
      <c r="F231" t="s">
        <v>381</v>
      </c>
      <c r="G231" s="11" t="s">
        <v>24</v>
      </c>
      <c r="H231" s="36">
        <v>2023</v>
      </c>
      <c r="I231" s="38" t="s">
        <v>381</v>
      </c>
      <c r="J231" t="s">
        <v>381</v>
      </c>
      <c r="K231" t="s">
        <v>381</v>
      </c>
      <c r="L231" t="s">
        <v>344</v>
      </c>
      <c r="M231" t="s">
        <v>345</v>
      </c>
      <c r="N231" t="s">
        <v>58</v>
      </c>
      <c r="O231" t="s">
        <v>63</v>
      </c>
      <c r="P231" s="4" t="s">
        <v>60</v>
      </c>
      <c r="Q231" s="4" t="s">
        <v>192</v>
      </c>
      <c r="S231">
        <v>95</v>
      </c>
      <c r="T231">
        <v>0.63</v>
      </c>
      <c r="U231">
        <v>0.49</v>
      </c>
      <c r="V231">
        <v>0.8</v>
      </c>
      <c r="W231" s="4">
        <f t="shared" si="14"/>
        <v>1.9599639845400536</v>
      </c>
      <c r="X231" s="4">
        <f t="shared" si="12"/>
        <v>-0.46824671959583725</v>
      </c>
      <c r="Y231" s="4">
        <f t="shared" si="13"/>
        <v>0.1250549347921544</v>
      </c>
      <c r="Z231">
        <v>279</v>
      </c>
      <c r="AA231">
        <v>284</v>
      </c>
      <c r="AB231">
        <v>563</v>
      </c>
      <c r="AC231" t="s">
        <v>381</v>
      </c>
      <c r="AD231" t="s">
        <v>381</v>
      </c>
      <c r="AE231" t="s">
        <v>381</v>
      </c>
      <c r="AF231" t="s">
        <v>381</v>
      </c>
      <c r="AG231" t="s">
        <v>381</v>
      </c>
    </row>
    <row r="232" spans="1:33" x14ac:dyDescent="0.35">
      <c r="A232" t="s">
        <v>382</v>
      </c>
      <c r="B232" t="s">
        <v>381</v>
      </c>
      <c r="C232" t="s">
        <v>381</v>
      </c>
      <c r="D232" t="s">
        <v>381</v>
      </c>
      <c r="E232" t="s">
        <v>381</v>
      </c>
      <c r="F232" t="s">
        <v>381</v>
      </c>
      <c r="G232" s="11" t="s">
        <v>24</v>
      </c>
      <c r="H232" s="36">
        <v>2023</v>
      </c>
      <c r="I232" s="38" t="s">
        <v>381</v>
      </c>
      <c r="J232" t="s">
        <v>381</v>
      </c>
      <c r="K232" t="s">
        <v>381</v>
      </c>
      <c r="L232" t="s">
        <v>344</v>
      </c>
      <c r="M232" t="s">
        <v>345</v>
      </c>
      <c r="N232" t="s">
        <v>65</v>
      </c>
      <c r="O232" t="s">
        <v>272</v>
      </c>
      <c r="P232" s="4" t="s">
        <v>60</v>
      </c>
      <c r="Q232" s="4" t="s">
        <v>192</v>
      </c>
      <c r="S232">
        <v>95</v>
      </c>
      <c r="T232">
        <v>0.54</v>
      </c>
      <c r="U232">
        <v>0.41</v>
      </c>
      <c r="V232">
        <v>0.72</v>
      </c>
      <c r="W232" s="4">
        <f t="shared" si="14"/>
        <v>1.9599639845400536</v>
      </c>
      <c r="X232" s="4">
        <f t="shared" si="12"/>
        <v>-0.61005109312790984</v>
      </c>
      <c r="Y232" s="4">
        <f t="shared" si="13"/>
        <v>0.14364908150184436</v>
      </c>
      <c r="Z232">
        <v>250</v>
      </c>
      <c r="AA232">
        <v>239</v>
      </c>
      <c r="AB232">
        <v>489</v>
      </c>
      <c r="AC232" t="s">
        <v>381</v>
      </c>
      <c r="AD232" t="s">
        <v>381</v>
      </c>
      <c r="AE232" t="s">
        <v>381</v>
      </c>
      <c r="AF232" t="s">
        <v>381</v>
      </c>
      <c r="AG232" t="s">
        <v>381</v>
      </c>
    </row>
    <row r="233" spans="1:33" x14ac:dyDescent="0.35">
      <c r="A233" t="s">
        <v>382</v>
      </c>
      <c r="B233" t="s">
        <v>381</v>
      </c>
      <c r="C233" t="s">
        <v>381</v>
      </c>
      <c r="D233" t="s">
        <v>381</v>
      </c>
      <c r="E233" t="s">
        <v>381</v>
      </c>
      <c r="F233" t="s">
        <v>381</v>
      </c>
      <c r="G233" s="11" t="s">
        <v>24</v>
      </c>
      <c r="H233" s="36">
        <v>2023</v>
      </c>
      <c r="I233" s="38" t="s">
        <v>381</v>
      </c>
      <c r="J233" t="s">
        <v>381</v>
      </c>
      <c r="K233" t="s">
        <v>381</v>
      </c>
      <c r="L233" t="s">
        <v>344</v>
      </c>
      <c r="M233" t="s">
        <v>345</v>
      </c>
      <c r="N233" t="s">
        <v>65</v>
      </c>
      <c r="O233" t="s">
        <v>373</v>
      </c>
      <c r="P233" s="4" t="s">
        <v>60</v>
      </c>
      <c r="Q233" s="4" t="s">
        <v>192</v>
      </c>
      <c r="S233">
        <v>95</v>
      </c>
      <c r="T233">
        <v>0.62</v>
      </c>
      <c r="U233">
        <v>0.42</v>
      </c>
      <c r="V233">
        <v>0.89</v>
      </c>
      <c r="W233" s="4">
        <f t="shared" si="14"/>
        <v>1.9599639845400536</v>
      </c>
      <c r="X233" s="4">
        <f t="shared" si="12"/>
        <v>-0.49201719198033728</v>
      </c>
      <c r="Y233" s="4">
        <f t="shared" si="13"/>
        <v>0.1915766711460776</v>
      </c>
      <c r="Z233">
        <v>134</v>
      </c>
      <c r="AA233">
        <v>145</v>
      </c>
      <c r="AB233">
        <v>279</v>
      </c>
      <c r="AC233" t="s">
        <v>381</v>
      </c>
      <c r="AD233" t="s">
        <v>381</v>
      </c>
      <c r="AE233" t="s">
        <v>381</v>
      </c>
      <c r="AF233" t="s">
        <v>381</v>
      </c>
      <c r="AG233" t="s">
        <v>381</v>
      </c>
    </row>
    <row r="234" spans="1:33" x14ac:dyDescent="0.35">
      <c r="A234" t="s">
        <v>382</v>
      </c>
      <c r="B234" t="s">
        <v>381</v>
      </c>
      <c r="C234" t="s">
        <v>381</v>
      </c>
      <c r="D234" t="s">
        <v>381</v>
      </c>
      <c r="E234" t="s">
        <v>381</v>
      </c>
      <c r="F234" t="s">
        <v>381</v>
      </c>
      <c r="G234" s="11" t="s">
        <v>24</v>
      </c>
      <c r="H234" s="36">
        <v>2023</v>
      </c>
      <c r="I234" s="38" t="s">
        <v>381</v>
      </c>
      <c r="J234" t="s">
        <v>381</v>
      </c>
      <c r="K234" t="s">
        <v>381</v>
      </c>
      <c r="L234" t="s">
        <v>344</v>
      </c>
      <c r="M234" t="s">
        <v>345</v>
      </c>
      <c r="N234" t="s">
        <v>68</v>
      </c>
      <c r="O234" t="s">
        <v>296</v>
      </c>
      <c r="P234" s="4" t="s">
        <v>60</v>
      </c>
      <c r="Q234" s="4" t="s">
        <v>192</v>
      </c>
      <c r="S234">
        <v>95</v>
      </c>
      <c r="T234">
        <v>0.66</v>
      </c>
      <c r="U234">
        <v>0.45</v>
      </c>
      <c r="V234">
        <v>0.99</v>
      </c>
      <c r="W234" s="4">
        <f t="shared" si="14"/>
        <v>1.9599639845400536</v>
      </c>
      <c r="X234" s="4">
        <f t="shared" si="12"/>
        <v>-0.40427901603563654</v>
      </c>
      <c r="Y234" s="4">
        <f t="shared" si="13"/>
        <v>0.20114077773457101</v>
      </c>
      <c r="Z234">
        <v>123</v>
      </c>
      <c r="AA234">
        <v>121</v>
      </c>
      <c r="AB234">
        <v>244</v>
      </c>
      <c r="AC234" t="s">
        <v>381</v>
      </c>
      <c r="AD234" t="s">
        <v>381</v>
      </c>
      <c r="AE234" t="s">
        <v>381</v>
      </c>
      <c r="AF234" t="s">
        <v>381</v>
      </c>
      <c r="AG234" t="s">
        <v>381</v>
      </c>
    </row>
    <row r="235" spans="1:33" x14ac:dyDescent="0.35">
      <c r="A235" t="s">
        <v>382</v>
      </c>
      <c r="B235" t="s">
        <v>381</v>
      </c>
      <c r="C235" t="s">
        <v>381</v>
      </c>
      <c r="D235" t="s">
        <v>381</v>
      </c>
      <c r="E235" t="s">
        <v>381</v>
      </c>
      <c r="F235" t="s">
        <v>381</v>
      </c>
      <c r="G235" s="11" t="s">
        <v>24</v>
      </c>
      <c r="H235" s="36">
        <v>2023</v>
      </c>
      <c r="I235" s="38" t="s">
        <v>381</v>
      </c>
      <c r="J235" t="s">
        <v>381</v>
      </c>
      <c r="K235" t="s">
        <v>381</v>
      </c>
      <c r="L235" t="s">
        <v>344</v>
      </c>
      <c r="M235" t="s">
        <v>345</v>
      </c>
      <c r="N235" t="s">
        <v>68</v>
      </c>
      <c r="O235" t="s">
        <v>373</v>
      </c>
      <c r="P235" s="4" t="s">
        <v>60</v>
      </c>
      <c r="Q235" s="4" t="s">
        <v>192</v>
      </c>
      <c r="S235">
        <v>95</v>
      </c>
      <c r="T235">
        <v>0.54</v>
      </c>
      <c r="U235">
        <v>0.41</v>
      </c>
      <c r="V235">
        <v>0.69</v>
      </c>
      <c r="W235" s="4">
        <f t="shared" si="14"/>
        <v>1.9599639845400536</v>
      </c>
      <c r="X235" s="4">
        <f t="shared" si="12"/>
        <v>-0.63133090033730788</v>
      </c>
      <c r="Y235" s="4">
        <f t="shared" si="13"/>
        <v>0.1327918375028472</v>
      </c>
      <c r="Z235">
        <v>274</v>
      </c>
      <c r="AA235">
        <v>279</v>
      </c>
      <c r="AB235">
        <v>553</v>
      </c>
      <c r="AC235" t="s">
        <v>381</v>
      </c>
      <c r="AD235" t="s">
        <v>381</v>
      </c>
      <c r="AE235" t="s">
        <v>381</v>
      </c>
      <c r="AF235" t="s">
        <v>381</v>
      </c>
      <c r="AG235" t="s">
        <v>381</v>
      </c>
    </row>
    <row r="236" spans="1:33" x14ac:dyDescent="0.35">
      <c r="A236" t="s">
        <v>382</v>
      </c>
      <c r="B236" t="s">
        <v>381</v>
      </c>
      <c r="C236" t="s">
        <v>381</v>
      </c>
      <c r="D236" t="s">
        <v>381</v>
      </c>
      <c r="E236" t="s">
        <v>381</v>
      </c>
      <c r="F236" t="s">
        <v>381</v>
      </c>
      <c r="G236" s="11" t="s">
        <v>24</v>
      </c>
      <c r="H236" s="36">
        <v>2023</v>
      </c>
      <c r="I236" s="38" t="s">
        <v>381</v>
      </c>
      <c r="J236" t="s">
        <v>381</v>
      </c>
      <c r="K236" t="s">
        <v>381</v>
      </c>
      <c r="L236" t="s">
        <v>344</v>
      </c>
      <c r="M236" t="s">
        <v>345</v>
      </c>
      <c r="N236" t="s">
        <v>73</v>
      </c>
      <c r="O236" t="s">
        <v>74</v>
      </c>
      <c r="P236" s="4" t="s">
        <v>60</v>
      </c>
      <c r="Q236" s="4" t="s">
        <v>192</v>
      </c>
      <c r="S236">
        <v>95</v>
      </c>
      <c r="T236">
        <v>0.52</v>
      </c>
      <c r="U236">
        <v>0.34</v>
      </c>
      <c r="V236">
        <v>0.78</v>
      </c>
      <c r="W236" s="4">
        <f t="shared" si="14"/>
        <v>1.9599639845400536</v>
      </c>
      <c r="X236" s="4">
        <f t="shared" si="12"/>
        <v>-0.66363551033521473</v>
      </c>
      <c r="Y236" s="4">
        <f t="shared" si="13"/>
        <v>0.21182743882620084</v>
      </c>
      <c r="Z236">
        <v>96</v>
      </c>
      <c r="AA236">
        <v>103</v>
      </c>
      <c r="AB236">
        <v>199</v>
      </c>
      <c r="AC236" t="s">
        <v>381</v>
      </c>
      <c r="AD236" t="s">
        <v>381</v>
      </c>
      <c r="AE236" t="s">
        <v>381</v>
      </c>
      <c r="AF236" t="s">
        <v>381</v>
      </c>
      <c r="AG236" t="s">
        <v>381</v>
      </c>
    </row>
    <row r="237" spans="1:33" x14ac:dyDescent="0.35">
      <c r="A237" t="s">
        <v>382</v>
      </c>
      <c r="B237" t="s">
        <v>381</v>
      </c>
      <c r="C237" t="s">
        <v>381</v>
      </c>
      <c r="D237" t="s">
        <v>381</v>
      </c>
      <c r="E237" t="s">
        <v>381</v>
      </c>
      <c r="F237" t="s">
        <v>381</v>
      </c>
      <c r="G237" s="11" t="s">
        <v>24</v>
      </c>
      <c r="H237" s="36">
        <v>2023</v>
      </c>
      <c r="I237" s="38" t="s">
        <v>381</v>
      </c>
      <c r="J237" t="s">
        <v>381</v>
      </c>
      <c r="K237" t="s">
        <v>381</v>
      </c>
      <c r="L237" t="s">
        <v>344</v>
      </c>
      <c r="M237" t="s">
        <v>345</v>
      </c>
      <c r="N237" t="s">
        <v>73</v>
      </c>
      <c r="O237" t="s">
        <v>75</v>
      </c>
      <c r="P237" s="4" t="s">
        <v>60</v>
      </c>
      <c r="Q237" s="4" t="s">
        <v>192</v>
      </c>
      <c r="S237">
        <v>95</v>
      </c>
      <c r="T237">
        <v>0.56999999999999995</v>
      </c>
      <c r="U237">
        <v>0.43</v>
      </c>
      <c r="V237">
        <v>0.75</v>
      </c>
      <c r="W237" s="4">
        <f t="shared" si="14"/>
        <v>1.9599639845400536</v>
      </c>
      <c r="X237" s="4">
        <f t="shared" si="12"/>
        <v>-0.56582607137315488</v>
      </c>
      <c r="Y237" s="4">
        <f t="shared" si="13"/>
        <v>0.1419128112125215</v>
      </c>
      <c r="Z237">
        <v>247</v>
      </c>
      <c r="AA237">
        <v>250</v>
      </c>
      <c r="AB237">
        <v>497</v>
      </c>
      <c r="AC237" t="s">
        <v>381</v>
      </c>
      <c r="AD237" t="s">
        <v>381</v>
      </c>
      <c r="AE237" t="s">
        <v>381</v>
      </c>
      <c r="AF237" t="s">
        <v>381</v>
      </c>
      <c r="AG237" t="s">
        <v>381</v>
      </c>
    </row>
    <row r="238" spans="1:33" x14ac:dyDescent="0.35">
      <c r="A238" t="s">
        <v>382</v>
      </c>
      <c r="B238" t="s">
        <v>381</v>
      </c>
      <c r="C238" t="s">
        <v>381</v>
      </c>
      <c r="D238" t="s">
        <v>381</v>
      </c>
      <c r="E238" t="s">
        <v>381</v>
      </c>
      <c r="F238" t="s">
        <v>381</v>
      </c>
      <c r="G238" s="11" t="s">
        <v>24</v>
      </c>
      <c r="H238" s="36">
        <v>2023</v>
      </c>
      <c r="I238" s="38" t="s">
        <v>381</v>
      </c>
      <c r="J238" t="s">
        <v>381</v>
      </c>
      <c r="K238" t="s">
        <v>381</v>
      </c>
      <c r="L238" t="s">
        <v>344</v>
      </c>
      <c r="M238" t="s">
        <v>345</v>
      </c>
      <c r="N238" t="s">
        <v>73</v>
      </c>
      <c r="O238" t="s">
        <v>76</v>
      </c>
      <c r="P238" s="4" t="s">
        <v>60</v>
      </c>
      <c r="Q238" s="4" t="s">
        <v>192</v>
      </c>
      <c r="S238">
        <v>95</v>
      </c>
      <c r="T238">
        <v>0.68</v>
      </c>
      <c r="U238">
        <v>0.36</v>
      </c>
      <c r="V238">
        <v>1.3</v>
      </c>
      <c r="W238" s="4">
        <f t="shared" si="14"/>
        <v>1.9599639845400536</v>
      </c>
      <c r="X238" s="4">
        <f t="shared" si="12"/>
        <v>-0.37964349153224519</v>
      </c>
      <c r="Y238" s="4">
        <f t="shared" si="13"/>
        <v>0.32756099656106524</v>
      </c>
      <c r="Z238">
        <v>54</v>
      </c>
      <c r="AA238">
        <v>47</v>
      </c>
      <c r="AB238">
        <v>101</v>
      </c>
      <c r="AC238" t="s">
        <v>381</v>
      </c>
      <c r="AD238" t="s">
        <v>381</v>
      </c>
      <c r="AE238" t="s">
        <v>381</v>
      </c>
      <c r="AF238" t="s">
        <v>381</v>
      </c>
      <c r="AG238" t="s">
        <v>381</v>
      </c>
    </row>
    <row r="239" spans="1:33" x14ac:dyDescent="0.35">
      <c r="A239" t="s">
        <v>382</v>
      </c>
      <c r="B239" t="s">
        <v>381</v>
      </c>
      <c r="C239" t="s">
        <v>381</v>
      </c>
      <c r="D239" t="s">
        <v>381</v>
      </c>
      <c r="E239" t="s">
        <v>381</v>
      </c>
      <c r="F239" t="s">
        <v>381</v>
      </c>
      <c r="G239" s="11" t="s">
        <v>24</v>
      </c>
      <c r="H239" s="36">
        <v>2023</v>
      </c>
      <c r="I239" s="38" t="s">
        <v>381</v>
      </c>
      <c r="J239" t="s">
        <v>381</v>
      </c>
      <c r="K239" t="s">
        <v>381</v>
      </c>
      <c r="L239" t="s">
        <v>344</v>
      </c>
      <c r="M239" t="s">
        <v>345</v>
      </c>
      <c r="N239" t="s">
        <v>374</v>
      </c>
      <c r="O239" t="s">
        <v>375</v>
      </c>
      <c r="P239" s="4" t="s">
        <v>60</v>
      </c>
      <c r="Q239" s="4" t="s">
        <v>192</v>
      </c>
      <c r="S239">
        <v>95</v>
      </c>
      <c r="T239">
        <v>0.65</v>
      </c>
      <c r="U239">
        <v>0.42</v>
      </c>
      <c r="V239">
        <v>1.01</v>
      </c>
      <c r="W239" s="4">
        <f t="shared" si="14"/>
        <v>1.9599639845400536</v>
      </c>
      <c r="X239" s="4">
        <f t="shared" si="12"/>
        <v>-0.42877511842577748</v>
      </c>
      <c r="Y239" s="4">
        <f t="shared" si="13"/>
        <v>0.2238436281174328</v>
      </c>
      <c r="Z239">
        <v>118</v>
      </c>
      <c r="AA239">
        <v>121</v>
      </c>
      <c r="AB239">
        <v>239</v>
      </c>
      <c r="AC239" t="s">
        <v>381</v>
      </c>
      <c r="AD239" t="s">
        <v>381</v>
      </c>
      <c r="AE239" t="s">
        <v>381</v>
      </c>
      <c r="AF239" t="s">
        <v>381</v>
      </c>
      <c r="AG239" t="s">
        <v>381</v>
      </c>
    </row>
    <row r="240" spans="1:33" x14ac:dyDescent="0.35">
      <c r="A240" t="s">
        <v>382</v>
      </c>
      <c r="B240" t="s">
        <v>381</v>
      </c>
      <c r="C240" t="s">
        <v>381</v>
      </c>
      <c r="D240" t="s">
        <v>381</v>
      </c>
      <c r="E240" t="s">
        <v>381</v>
      </c>
      <c r="F240" t="s">
        <v>381</v>
      </c>
      <c r="G240" s="11" t="s">
        <v>24</v>
      </c>
      <c r="H240" s="36">
        <v>2023</v>
      </c>
      <c r="I240" s="38" t="s">
        <v>381</v>
      </c>
      <c r="J240" t="s">
        <v>381</v>
      </c>
      <c r="K240" t="s">
        <v>381</v>
      </c>
      <c r="L240" t="s">
        <v>344</v>
      </c>
      <c r="M240" t="s">
        <v>345</v>
      </c>
      <c r="N240" t="s">
        <v>374</v>
      </c>
      <c r="O240" t="s">
        <v>83</v>
      </c>
      <c r="P240" s="4" t="s">
        <v>60</v>
      </c>
      <c r="Q240" s="4" t="s">
        <v>192</v>
      </c>
      <c r="S240">
        <v>95</v>
      </c>
      <c r="T240">
        <v>0.54</v>
      </c>
      <c r="U240">
        <v>0.42</v>
      </c>
      <c r="V240">
        <v>0.7</v>
      </c>
      <c r="W240" s="4">
        <f t="shared" si="14"/>
        <v>1.9599639845400536</v>
      </c>
      <c r="X240" s="4">
        <f t="shared" si="12"/>
        <v>-0.6120877558217277</v>
      </c>
      <c r="Y240" s="4">
        <f t="shared" si="13"/>
        <v>0.13031505369366939</v>
      </c>
      <c r="Z240">
        <v>279</v>
      </c>
      <c r="AA240">
        <v>279</v>
      </c>
      <c r="AB240">
        <v>558</v>
      </c>
      <c r="AC240" t="s">
        <v>381</v>
      </c>
      <c r="AD240" t="s">
        <v>381</v>
      </c>
      <c r="AE240" t="s">
        <v>381</v>
      </c>
      <c r="AF240" t="s">
        <v>381</v>
      </c>
      <c r="AG240" t="s">
        <v>381</v>
      </c>
    </row>
    <row r="241" spans="1:33" x14ac:dyDescent="0.35">
      <c r="A241" t="s">
        <v>382</v>
      </c>
      <c r="B241" t="s">
        <v>381</v>
      </c>
      <c r="C241" t="s">
        <v>381</v>
      </c>
      <c r="D241" t="s">
        <v>381</v>
      </c>
      <c r="E241" t="s">
        <v>381</v>
      </c>
      <c r="F241" t="s">
        <v>381</v>
      </c>
      <c r="G241" s="11" t="s">
        <v>24</v>
      </c>
      <c r="H241" s="36">
        <v>2023</v>
      </c>
      <c r="I241" s="38" t="s">
        <v>381</v>
      </c>
      <c r="J241" t="s">
        <v>381</v>
      </c>
      <c r="K241" t="s">
        <v>381</v>
      </c>
      <c r="L241" t="s">
        <v>344</v>
      </c>
      <c r="M241" t="s">
        <v>345</v>
      </c>
      <c r="N241" t="s">
        <v>374</v>
      </c>
      <c r="O241" t="s">
        <v>23</v>
      </c>
      <c r="P241" s="4" t="s">
        <v>60</v>
      </c>
      <c r="Q241" s="4" t="s">
        <v>192</v>
      </c>
      <c r="S241">
        <v>95</v>
      </c>
      <c r="T241">
        <v>0.57999999999999996</v>
      </c>
      <c r="U241">
        <v>0.43</v>
      </c>
      <c r="V241">
        <v>0.78</v>
      </c>
      <c r="W241" s="4">
        <f t="shared" si="14"/>
        <v>1.9599639845400536</v>
      </c>
      <c r="X241" s="4">
        <f t="shared" si="12"/>
        <v>-0.54621571479651432</v>
      </c>
      <c r="Y241" s="4">
        <f t="shared" si="13"/>
        <v>0.15191827903301444</v>
      </c>
      <c r="Z241">
        <v>226</v>
      </c>
      <c r="AA241">
        <v>227</v>
      </c>
      <c r="AB241">
        <v>453</v>
      </c>
      <c r="AC241" t="s">
        <v>381</v>
      </c>
      <c r="AD241" t="s">
        <v>381</v>
      </c>
      <c r="AE241" t="s">
        <v>381</v>
      </c>
      <c r="AF241" t="s">
        <v>381</v>
      </c>
      <c r="AG241" t="s">
        <v>381</v>
      </c>
    </row>
    <row r="242" spans="1:33" x14ac:dyDescent="0.35">
      <c r="A242" t="s">
        <v>382</v>
      </c>
      <c r="B242" t="s">
        <v>381</v>
      </c>
      <c r="C242" t="s">
        <v>381</v>
      </c>
      <c r="D242" t="s">
        <v>381</v>
      </c>
      <c r="E242" t="s">
        <v>381</v>
      </c>
      <c r="F242" t="s">
        <v>381</v>
      </c>
      <c r="G242" s="11" t="s">
        <v>24</v>
      </c>
      <c r="H242" s="36">
        <v>2023</v>
      </c>
      <c r="I242" s="38" t="s">
        <v>381</v>
      </c>
      <c r="J242" t="s">
        <v>381</v>
      </c>
      <c r="K242" t="s">
        <v>381</v>
      </c>
      <c r="L242" t="s">
        <v>344</v>
      </c>
      <c r="M242" t="s">
        <v>345</v>
      </c>
      <c r="N242" t="s">
        <v>376</v>
      </c>
      <c r="O242" t="s">
        <v>80</v>
      </c>
      <c r="P242" s="4" t="s">
        <v>60</v>
      </c>
      <c r="Q242" s="4" t="s">
        <v>192</v>
      </c>
      <c r="S242">
        <v>95</v>
      </c>
      <c r="T242">
        <v>0.56999999999999995</v>
      </c>
      <c r="U242">
        <v>0.41</v>
      </c>
      <c r="V242">
        <v>0.77</v>
      </c>
      <c r="W242" s="4">
        <f t="shared" si="14"/>
        <v>1.9599639845400536</v>
      </c>
      <c r="X242" s="4">
        <f t="shared" si="12"/>
        <v>-0.57648144170909554</v>
      </c>
      <c r="Y242" s="4">
        <f t="shared" si="13"/>
        <v>0.16077676939999322</v>
      </c>
      <c r="Z242">
        <v>171</v>
      </c>
      <c r="AA242">
        <v>173</v>
      </c>
      <c r="AB242">
        <v>344</v>
      </c>
      <c r="AC242" t="s">
        <v>381</v>
      </c>
      <c r="AD242" t="s">
        <v>381</v>
      </c>
      <c r="AE242" t="s">
        <v>381</v>
      </c>
      <c r="AF242" t="s">
        <v>381</v>
      </c>
      <c r="AG242" t="s">
        <v>381</v>
      </c>
    </row>
    <row r="243" spans="1:33" x14ac:dyDescent="0.35">
      <c r="A243" t="s">
        <v>382</v>
      </c>
      <c r="B243" t="s">
        <v>381</v>
      </c>
      <c r="C243" t="s">
        <v>381</v>
      </c>
      <c r="D243" t="s">
        <v>381</v>
      </c>
      <c r="E243" t="s">
        <v>381</v>
      </c>
      <c r="F243" t="s">
        <v>381</v>
      </c>
      <c r="G243" s="11" t="s">
        <v>24</v>
      </c>
      <c r="H243" s="36">
        <v>2023</v>
      </c>
      <c r="I243" s="38" t="s">
        <v>381</v>
      </c>
      <c r="J243" t="s">
        <v>381</v>
      </c>
      <c r="K243" t="s">
        <v>381</v>
      </c>
      <c r="L243" t="s">
        <v>344</v>
      </c>
      <c r="M243" t="s">
        <v>345</v>
      </c>
      <c r="N243" t="s">
        <v>376</v>
      </c>
      <c r="O243" t="s">
        <v>81</v>
      </c>
      <c r="P243" s="4" t="s">
        <v>60</v>
      </c>
      <c r="Q243" s="4" t="s">
        <v>192</v>
      </c>
      <c r="S243">
        <v>95</v>
      </c>
      <c r="T243">
        <v>0.64</v>
      </c>
      <c r="U243">
        <v>0.49</v>
      </c>
      <c r="V243">
        <v>0.82</v>
      </c>
      <c r="W243" s="4">
        <f t="shared" si="14"/>
        <v>1.9599639845400536</v>
      </c>
      <c r="X243" s="4">
        <f t="shared" si="12"/>
        <v>-0.45590041330065156</v>
      </c>
      <c r="Y243" s="4">
        <f t="shared" si="13"/>
        <v>0.13135418640727173</v>
      </c>
      <c r="Z243">
        <v>265</v>
      </c>
      <c r="AA243">
        <v>266</v>
      </c>
      <c r="AB243">
        <v>531</v>
      </c>
      <c r="AC243" t="s">
        <v>381</v>
      </c>
      <c r="AD243" t="s">
        <v>381</v>
      </c>
      <c r="AE243" t="s">
        <v>381</v>
      </c>
      <c r="AF243" t="s">
        <v>381</v>
      </c>
      <c r="AG243" t="s">
        <v>381</v>
      </c>
    </row>
    <row r="244" spans="1:33" x14ac:dyDescent="0.35">
      <c r="A244" t="s">
        <v>382</v>
      </c>
      <c r="B244" t="s">
        <v>381</v>
      </c>
      <c r="C244" t="s">
        <v>381</v>
      </c>
      <c r="D244" t="s">
        <v>381</v>
      </c>
      <c r="E244" t="s">
        <v>381</v>
      </c>
      <c r="F244" t="s">
        <v>381</v>
      </c>
      <c r="G244" s="11" t="s">
        <v>24</v>
      </c>
      <c r="H244" s="36">
        <v>2023</v>
      </c>
      <c r="I244" s="38" t="s">
        <v>381</v>
      </c>
      <c r="J244" t="s">
        <v>381</v>
      </c>
      <c r="K244" t="s">
        <v>381</v>
      </c>
      <c r="L244" t="s">
        <v>344</v>
      </c>
      <c r="M244" t="s">
        <v>345</v>
      </c>
      <c r="N244" t="s">
        <v>377</v>
      </c>
      <c r="O244" t="s">
        <v>309</v>
      </c>
      <c r="P244" s="4" t="s">
        <v>60</v>
      </c>
      <c r="Q244" s="4" t="s">
        <v>192</v>
      </c>
      <c r="S244">
        <v>95</v>
      </c>
      <c r="T244">
        <v>0.42</v>
      </c>
      <c r="U244">
        <v>0.28000000000000003</v>
      </c>
      <c r="V244">
        <v>0.65</v>
      </c>
      <c r="W244" s="4">
        <f t="shared" si="14"/>
        <v>1.9599639845400536</v>
      </c>
      <c r="X244" s="4">
        <f t="shared" si="12"/>
        <v>-0.85187429595267083</v>
      </c>
      <c r="Y244" s="4">
        <f t="shared" si="13"/>
        <v>0.21484648859965375</v>
      </c>
      <c r="Z244">
        <v>265</v>
      </c>
      <c r="AA244">
        <v>266</v>
      </c>
      <c r="AB244">
        <v>531</v>
      </c>
      <c r="AC244" t="s">
        <v>381</v>
      </c>
      <c r="AD244" t="s">
        <v>381</v>
      </c>
      <c r="AE244" t="s">
        <v>381</v>
      </c>
      <c r="AF244" t="s">
        <v>381</v>
      </c>
      <c r="AG244" t="s">
        <v>381</v>
      </c>
    </row>
    <row r="245" spans="1:33" x14ac:dyDescent="0.35">
      <c r="A245" t="s">
        <v>382</v>
      </c>
      <c r="B245" t="s">
        <v>381</v>
      </c>
      <c r="C245" t="s">
        <v>381</v>
      </c>
      <c r="D245" t="s">
        <v>381</v>
      </c>
      <c r="E245" t="s">
        <v>381</v>
      </c>
      <c r="F245" t="s">
        <v>381</v>
      </c>
      <c r="G245" s="11" t="s">
        <v>24</v>
      </c>
      <c r="H245" s="36">
        <v>2023</v>
      </c>
      <c r="I245" s="38" t="s">
        <v>381</v>
      </c>
      <c r="J245" t="s">
        <v>381</v>
      </c>
      <c r="K245" t="s">
        <v>381</v>
      </c>
      <c r="L245" t="s">
        <v>344</v>
      </c>
      <c r="M245" t="s">
        <v>345</v>
      </c>
      <c r="N245" t="s">
        <v>377</v>
      </c>
      <c r="O245" t="s">
        <v>277</v>
      </c>
      <c r="P245" s="4" t="s">
        <v>60</v>
      </c>
      <c r="Q245" s="4" t="s">
        <v>192</v>
      </c>
      <c r="S245">
        <v>95</v>
      </c>
      <c r="T245">
        <v>0.77</v>
      </c>
      <c r="U245">
        <v>0.55000000000000004</v>
      </c>
      <c r="V245">
        <v>1.07</v>
      </c>
      <c r="W245" s="4">
        <f t="shared" si="14"/>
        <v>1.9599639845400536</v>
      </c>
      <c r="X245" s="4">
        <f t="shared" si="12"/>
        <v>-0.26508917614090277</v>
      </c>
      <c r="Y245" s="4">
        <f t="shared" si="13"/>
        <v>0.16977241788083358</v>
      </c>
      <c r="Z245">
        <v>132</v>
      </c>
      <c r="AA245">
        <v>134</v>
      </c>
      <c r="AB245">
        <v>266</v>
      </c>
      <c r="AC245" t="s">
        <v>381</v>
      </c>
      <c r="AD245" t="s">
        <v>381</v>
      </c>
      <c r="AE245" t="s">
        <v>381</v>
      </c>
      <c r="AF245" t="s">
        <v>381</v>
      </c>
      <c r="AG245" t="s">
        <v>381</v>
      </c>
    </row>
    <row r="246" spans="1:33" x14ac:dyDescent="0.35">
      <c r="A246" t="s">
        <v>382</v>
      </c>
      <c r="B246" t="s">
        <v>381</v>
      </c>
      <c r="C246" t="s">
        <v>381</v>
      </c>
      <c r="D246" t="s">
        <v>381</v>
      </c>
      <c r="E246" t="s">
        <v>381</v>
      </c>
      <c r="F246" t="s">
        <v>381</v>
      </c>
      <c r="G246" s="11" t="s">
        <v>24</v>
      </c>
      <c r="H246" s="36">
        <v>2023</v>
      </c>
      <c r="I246" s="38" t="s">
        <v>381</v>
      </c>
      <c r="J246" t="s">
        <v>381</v>
      </c>
      <c r="K246" t="s">
        <v>381</v>
      </c>
      <c r="L246" t="s">
        <v>344</v>
      </c>
      <c r="M246" t="s">
        <v>345</v>
      </c>
      <c r="N246" t="s">
        <v>378</v>
      </c>
      <c r="O246" t="s">
        <v>274</v>
      </c>
      <c r="P246" s="4" t="s">
        <v>60</v>
      </c>
      <c r="Q246" s="4" t="s">
        <v>192</v>
      </c>
      <c r="S246">
        <v>95</v>
      </c>
      <c r="T246">
        <v>0.47</v>
      </c>
      <c r="U246">
        <v>0.36</v>
      </c>
      <c r="V246">
        <v>0.63</v>
      </c>
      <c r="W246" s="4">
        <f t="shared" si="14"/>
        <v>1.9599639845400536</v>
      </c>
      <c r="X246" s="4">
        <f t="shared" si="12"/>
        <v>-0.74184335356427011</v>
      </c>
      <c r="Y246" s="4">
        <f t="shared" si="13"/>
        <v>0.14276175285607309</v>
      </c>
      <c r="Z246">
        <v>138</v>
      </c>
      <c r="AA246">
        <v>151</v>
      </c>
      <c r="AB246">
        <v>289</v>
      </c>
      <c r="AC246" t="s">
        <v>381</v>
      </c>
      <c r="AD246" t="s">
        <v>381</v>
      </c>
      <c r="AE246" t="s">
        <v>381</v>
      </c>
      <c r="AF246" t="s">
        <v>381</v>
      </c>
      <c r="AG246" t="s">
        <v>381</v>
      </c>
    </row>
    <row r="247" spans="1:33" x14ac:dyDescent="0.35">
      <c r="A247" t="s">
        <v>382</v>
      </c>
      <c r="B247" t="s">
        <v>381</v>
      </c>
      <c r="C247" t="s">
        <v>381</v>
      </c>
      <c r="D247" t="s">
        <v>381</v>
      </c>
      <c r="E247" t="s">
        <v>381</v>
      </c>
      <c r="F247" t="s">
        <v>381</v>
      </c>
      <c r="G247" s="11" t="s">
        <v>24</v>
      </c>
      <c r="H247" s="36">
        <v>2023</v>
      </c>
      <c r="I247" s="38" t="s">
        <v>381</v>
      </c>
      <c r="J247" t="s">
        <v>381</v>
      </c>
      <c r="K247" t="s">
        <v>381</v>
      </c>
      <c r="L247" t="s">
        <v>344</v>
      </c>
      <c r="M247" t="s">
        <v>345</v>
      </c>
      <c r="N247" t="s">
        <v>378</v>
      </c>
      <c r="O247" t="s">
        <v>281</v>
      </c>
      <c r="P247" s="4" t="s">
        <v>60</v>
      </c>
      <c r="Q247" s="4" t="s">
        <v>192</v>
      </c>
      <c r="S247">
        <v>95</v>
      </c>
      <c r="T247">
        <v>0.77</v>
      </c>
      <c r="U247">
        <v>0.55000000000000004</v>
      </c>
      <c r="V247">
        <v>1.07</v>
      </c>
      <c r="W247" s="4">
        <f t="shared" si="14"/>
        <v>1.9599639845400536</v>
      </c>
      <c r="X247" s="4">
        <f t="shared" si="12"/>
        <v>-0.26508917614090277</v>
      </c>
      <c r="Y247" s="4">
        <f t="shared" si="13"/>
        <v>0.16977241788083358</v>
      </c>
      <c r="Z247">
        <v>259</v>
      </c>
      <c r="AA247">
        <v>249</v>
      </c>
      <c r="AB247">
        <v>508</v>
      </c>
      <c r="AC247" t="s">
        <v>381</v>
      </c>
      <c r="AD247" t="s">
        <v>381</v>
      </c>
      <c r="AE247" t="s">
        <v>381</v>
      </c>
      <c r="AF247" t="s">
        <v>381</v>
      </c>
      <c r="AG247" t="s">
        <v>381</v>
      </c>
    </row>
    <row r="248" spans="1:33" x14ac:dyDescent="0.35">
      <c r="A248" t="s">
        <v>382</v>
      </c>
      <c r="B248" t="s">
        <v>381</v>
      </c>
      <c r="C248" t="s">
        <v>381</v>
      </c>
      <c r="D248" t="s">
        <v>381</v>
      </c>
      <c r="E248" t="s">
        <v>381</v>
      </c>
      <c r="F248" t="s">
        <v>381</v>
      </c>
      <c r="G248" s="11" t="s">
        <v>24</v>
      </c>
      <c r="H248" s="36">
        <v>2023</v>
      </c>
      <c r="I248" s="38" t="s">
        <v>381</v>
      </c>
      <c r="J248" t="s">
        <v>381</v>
      </c>
      <c r="K248" t="s">
        <v>381</v>
      </c>
      <c r="L248" t="s">
        <v>344</v>
      </c>
      <c r="M248" t="s">
        <v>345</v>
      </c>
      <c r="N248" t="s">
        <v>379</v>
      </c>
      <c r="O248" t="s">
        <v>274</v>
      </c>
      <c r="P248" s="4" t="s">
        <v>60</v>
      </c>
      <c r="Q248" s="4" t="s">
        <v>192</v>
      </c>
      <c r="S248">
        <v>95</v>
      </c>
      <c r="T248">
        <v>0.47</v>
      </c>
      <c r="U248">
        <v>0.36</v>
      </c>
      <c r="V248">
        <v>0.63</v>
      </c>
      <c r="W248" s="4">
        <f t="shared" si="14"/>
        <v>1.9599639845400536</v>
      </c>
      <c r="X248" s="4">
        <f t="shared" si="12"/>
        <v>-0.74184335356427011</v>
      </c>
      <c r="Y248" s="4">
        <f t="shared" si="13"/>
        <v>0.14276175285607309</v>
      </c>
      <c r="Z248">
        <v>138</v>
      </c>
      <c r="AA248">
        <v>151</v>
      </c>
      <c r="AB248">
        <v>289</v>
      </c>
      <c r="AC248" t="s">
        <v>381</v>
      </c>
      <c r="AD248" t="s">
        <v>381</v>
      </c>
      <c r="AE248" t="s">
        <v>381</v>
      </c>
      <c r="AF248" t="s">
        <v>381</v>
      </c>
      <c r="AG248" t="s">
        <v>381</v>
      </c>
    </row>
    <row r="249" spans="1:33" x14ac:dyDescent="0.35">
      <c r="A249" t="s">
        <v>382</v>
      </c>
      <c r="B249" t="s">
        <v>381</v>
      </c>
      <c r="C249" t="s">
        <v>381</v>
      </c>
      <c r="D249" t="s">
        <v>381</v>
      </c>
      <c r="E249" t="s">
        <v>381</v>
      </c>
      <c r="F249" t="s">
        <v>381</v>
      </c>
      <c r="G249" s="11" t="s">
        <v>24</v>
      </c>
      <c r="H249" s="36">
        <v>2023</v>
      </c>
      <c r="I249" s="38" t="s">
        <v>381</v>
      </c>
      <c r="J249" t="s">
        <v>381</v>
      </c>
      <c r="K249" t="s">
        <v>381</v>
      </c>
      <c r="L249" t="s">
        <v>344</v>
      </c>
      <c r="M249" t="s">
        <v>345</v>
      </c>
      <c r="N249" t="s">
        <v>379</v>
      </c>
      <c r="O249" t="s">
        <v>282</v>
      </c>
      <c r="P249" s="4" t="s">
        <v>60</v>
      </c>
      <c r="Q249" s="4" t="s">
        <v>192</v>
      </c>
      <c r="S249">
        <v>95</v>
      </c>
      <c r="T249">
        <v>0.51</v>
      </c>
      <c r="U249">
        <v>0.34</v>
      </c>
      <c r="V249">
        <v>0.75</v>
      </c>
      <c r="W249" s="4">
        <f t="shared" si="14"/>
        <v>1.9599639845400536</v>
      </c>
      <c r="X249" s="4">
        <f t="shared" si="12"/>
        <v>-0.68324586691185529</v>
      </c>
      <c r="Y249" s="4">
        <f t="shared" si="13"/>
        <v>0.20182197100570792</v>
      </c>
      <c r="Z249">
        <v>127</v>
      </c>
      <c r="AA249">
        <v>115</v>
      </c>
      <c r="AB249">
        <v>242</v>
      </c>
      <c r="AC249" t="s">
        <v>381</v>
      </c>
      <c r="AD249" t="s">
        <v>381</v>
      </c>
      <c r="AE249" t="s">
        <v>381</v>
      </c>
      <c r="AF249" t="s">
        <v>381</v>
      </c>
      <c r="AG249" t="s">
        <v>381</v>
      </c>
    </row>
    <row r="250" spans="1:33" x14ac:dyDescent="0.35">
      <c r="A250" t="s">
        <v>382</v>
      </c>
      <c r="B250" t="s">
        <v>381</v>
      </c>
      <c r="C250" t="s">
        <v>381</v>
      </c>
      <c r="D250" t="s">
        <v>381</v>
      </c>
      <c r="E250" t="s">
        <v>381</v>
      </c>
      <c r="F250" t="s">
        <v>381</v>
      </c>
      <c r="G250" s="11" t="s">
        <v>24</v>
      </c>
      <c r="H250" s="36">
        <v>2023</v>
      </c>
      <c r="I250" s="38" t="s">
        <v>381</v>
      </c>
      <c r="J250" t="s">
        <v>381</v>
      </c>
      <c r="K250" t="s">
        <v>381</v>
      </c>
      <c r="L250" t="s">
        <v>344</v>
      </c>
      <c r="M250" t="s">
        <v>345</v>
      </c>
      <c r="N250" t="s">
        <v>379</v>
      </c>
      <c r="O250" t="s">
        <v>277</v>
      </c>
      <c r="P250" s="4" t="s">
        <v>60</v>
      </c>
      <c r="Q250" s="4" t="s">
        <v>192</v>
      </c>
      <c r="S250">
        <v>95</v>
      </c>
      <c r="T250">
        <v>0.42</v>
      </c>
      <c r="U250">
        <v>0.28000000000000003</v>
      </c>
      <c r="V250">
        <v>0.65</v>
      </c>
      <c r="W250" s="4">
        <f t="shared" si="14"/>
        <v>1.9599639845400536</v>
      </c>
      <c r="X250" s="4">
        <f t="shared" si="12"/>
        <v>-0.85187429595267083</v>
      </c>
      <c r="Y250" s="4">
        <f t="shared" si="13"/>
        <v>0.21484648859965375</v>
      </c>
      <c r="Z250">
        <v>132</v>
      </c>
      <c r="AA250">
        <v>134</v>
      </c>
      <c r="AB250">
        <v>266</v>
      </c>
      <c r="AC250" t="s">
        <v>381</v>
      </c>
      <c r="AD250" t="s">
        <v>381</v>
      </c>
      <c r="AE250" t="s">
        <v>381</v>
      </c>
      <c r="AF250" t="s">
        <v>381</v>
      </c>
      <c r="AG250" t="s">
        <v>381</v>
      </c>
    </row>
    <row r="251" spans="1:33" x14ac:dyDescent="0.35">
      <c r="A251" t="s">
        <v>382</v>
      </c>
      <c r="B251" t="s">
        <v>381</v>
      </c>
      <c r="C251" t="s">
        <v>381</v>
      </c>
      <c r="D251" t="s">
        <v>381</v>
      </c>
      <c r="E251" t="s">
        <v>381</v>
      </c>
      <c r="F251" t="s">
        <v>381</v>
      </c>
      <c r="G251" s="11" t="s">
        <v>24</v>
      </c>
      <c r="H251" s="36">
        <v>2023</v>
      </c>
      <c r="I251" s="38" t="s">
        <v>381</v>
      </c>
      <c r="J251" t="s">
        <v>381</v>
      </c>
      <c r="K251" t="s">
        <v>381</v>
      </c>
      <c r="L251" t="s">
        <v>344</v>
      </c>
      <c r="M251" t="s">
        <v>345</v>
      </c>
      <c r="N251" t="s">
        <v>380</v>
      </c>
      <c r="O251" t="s">
        <v>311</v>
      </c>
      <c r="P251" s="4" t="s">
        <v>60</v>
      </c>
      <c r="Q251" s="4" t="s">
        <v>192</v>
      </c>
      <c r="S251">
        <v>95</v>
      </c>
      <c r="T251">
        <v>0.48</v>
      </c>
      <c r="U251">
        <v>0.31</v>
      </c>
      <c r="V251">
        <v>0.74</v>
      </c>
      <c r="W251" s="4">
        <f t="shared" si="14"/>
        <v>1.9599639845400536</v>
      </c>
      <c r="X251" s="4">
        <f t="shared" si="12"/>
        <v>-0.73614403714343335</v>
      </c>
      <c r="Y251" s="4">
        <f t="shared" si="13"/>
        <v>0.22196272369851872</v>
      </c>
      <c r="Z251">
        <v>111</v>
      </c>
      <c r="AA251">
        <v>127</v>
      </c>
      <c r="AB251">
        <v>238</v>
      </c>
      <c r="AC251" t="s">
        <v>381</v>
      </c>
      <c r="AD251" t="s">
        <v>381</v>
      </c>
      <c r="AE251" t="s">
        <v>381</v>
      </c>
      <c r="AF251" t="s">
        <v>381</v>
      </c>
      <c r="AG251" t="s">
        <v>381</v>
      </c>
    </row>
    <row r="252" spans="1:33" x14ac:dyDescent="0.35">
      <c r="A252" t="s">
        <v>382</v>
      </c>
      <c r="B252" t="s">
        <v>381</v>
      </c>
      <c r="C252" t="s">
        <v>381</v>
      </c>
      <c r="D252" t="s">
        <v>381</v>
      </c>
      <c r="E252" t="s">
        <v>381</v>
      </c>
      <c r="F252" t="s">
        <v>381</v>
      </c>
      <c r="G252" s="11" t="s">
        <v>24</v>
      </c>
      <c r="H252" s="36">
        <v>2023</v>
      </c>
      <c r="I252" s="38" t="s">
        <v>381</v>
      </c>
      <c r="J252" t="s">
        <v>381</v>
      </c>
      <c r="K252" t="s">
        <v>381</v>
      </c>
      <c r="L252" t="s">
        <v>344</v>
      </c>
      <c r="M252" t="s">
        <v>345</v>
      </c>
      <c r="N252" t="s">
        <v>380</v>
      </c>
      <c r="O252" t="s">
        <v>113</v>
      </c>
      <c r="P252" s="4" t="s">
        <v>60</v>
      </c>
      <c r="Q252" s="4" t="s">
        <v>192</v>
      </c>
      <c r="S252">
        <v>95</v>
      </c>
      <c r="T252">
        <v>0.09</v>
      </c>
      <c r="U252">
        <v>0.01</v>
      </c>
      <c r="V252">
        <v>0.74</v>
      </c>
      <c r="W252" s="4">
        <f t="shared" si="14"/>
        <v>1.9599639845400536</v>
      </c>
      <c r="X252" s="4">
        <f t="shared" si="12"/>
        <v>-2.4531376393860063</v>
      </c>
      <c r="Y252" s="4">
        <f t="shared" si="13"/>
        <v>1.0979959650162163</v>
      </c>
      <c r="Z252">
        <v>14</v>
      </c>
      <c r="AA252">
        <v>19</v>
      </c>
      <c r="AB252">
        <v>33</v>
      </c>
      <c r="AC252" t="s">
        <v>381</v>
      </c>
      <c r="AD252" t="s">
        <v>381</v>
      </c>
      <c r="AE252" t="s">
        <v>381</v>
      </c>
      <c r="AF252" t="s">
        <v>381</v>
      </c>
      <c r="AG252" t="s">
        <v>381</v>
      </c>
    </row>
    <row r="253" spans="1:33" x14ac:dyDescent="0.35">
      <c r="A253" t="s">
        <v>382</v>
      </c>
      <c r="B253" t="s">
        <v>381</v>
      </c>
      <c r="C253" t="s">
        <v>381</v>
      </c>
      <c r="D253" t="s">
        <v>381</v>
      </c>
      <c r="E253" t="s">
        <v>381</v>
      </c>
      <c r="F253" t="s">
        <v>381</v>
      </c>
      <c r="G253" s="11" t="s">
        <v>24</v>
      </c>
      <c r="H253" s="36">
        <v>2023</v>
      </c>
      <c r="I253" s="38" t="s">
        <v>381</v>
      </c>
      <c r="J253" t="s">
        <v>381</v>
      </c>
      <c r="K253" t="s">
        <v>381</v>
      </c>
      <c r="L253" t="s">
        <v>344</v>
      </c>
      <c r="M253" t="s">
        <v>345</v>
      </c>
      <c r="N253" t="s">
        <v>380</v>
      </c>
      <c r="O253" t="s">
        <v>312</v>
      </c>
      <c r="P253" s="4" t="s">
        <v>60</v>
      </c>
      <c r="Q253" s="4" t="s">
        <v>192</v>
      </c>
      <c r="S253">
        <v>95</v>
      </c>
      <c r="T253">
        <v>0.64</v>
      </c>
      <c r="U253">
        <v>0.49</v>
      </c>
      <c r="V253">
        <v>0.83</v>
      </c>
      <c r="W253" s="4">
        <f t="shared" si="14"/>
        <v>1.9599639845400536</v>
      </c>
      <c r="X253" s="4">
        <f t="shared" si="12"/>
        <v>-0.44983973303447911</v>
      </c>
      <c r="Y253" s="4">
        <f t="shared" si="13"/>
        <v>0.13444642703719059</v>
      </c>
      <c r="Z253">
        <v>272</v>
      </c>
      <c r="AA253">
        <v>254</v>
      </c>
      <c r="AB253">
        <v>526</v>
      </c>
      <c r="AC253" t="s">
        <v>381</v>
      </c>
      <c r="AD253" t="s">
        <v>381</v>
      </c>
      <c r="AE253" t="s">
        <v>381</v>
      </c>
      <c r="AF253" t="s">
        <v>381</v>
      </c>
      <c r="AG253" t="s">
        <v>381</v>
      </c>
    </row>
    <row r="254" spans="1:33" x14ac:dyDescent="0.35">
      <c r="A254" t="s">
        <v>382</v>
      </c>
      <c r="B254" t="s">
        <v>381</v>
      </c>
      <c r="C254" t="s">
        <v>381</v>
      </c>
      <c r="D254" t="s">
        <v>381</v>
      </c>
      <c r="E254" t="s">
        <v>381</v>
      </c>
      <c r="F254" t="s">
        <v>381</v>
      </c>
      <c r="G254" s="11" t="s">
        <v>24</v>
      </c>
      <c r="H254" s="36">
        <v>2023</v>
      </c>
      <c r="I254" s="38" t="s">
        <v>381</v>
      </c>
      <c r="J254" t="s">
        <v>381</v>
      </c>
      <c r="K254" t="s">
        <v>381</v>
      </c>
      <c r="L254" t="s">
        <v>344</v>
      </c>
      <c r="M254" t="s">
        <v>345</v>
      </c>
      <c r="N254" t="s">
        <v>313</v>
      </c>
      <c r="O254" t="s">
        <v>311</v>
      </c>
      <c r="P254" s="4" t="s">
        <v>60</v>
      </c>
      <c r="Q254" s="4" t="s">
        <v>192</v>
      </c>
      <c r="S254">
        <v>95</v>
      </c>
      <c r="T254">
        <v>0.41</v>
      </c>
      <c r="U254">
        <v>0.26</v>
      </c>
      <c r="V254">
        <v>0.62</v>
      </c>
      <c r="W254" s="4">
        <f t="shared" si="14"/>
        <v>1.9599639845400536</v>
      </c>
      <c r="X254" s="4">
        <f t="shared" si="12"/>
        <v>-0.91255472445480446</v>
      </c>
      <c r="Y254" s="4">
        <f t="shared" si="13"/>
        <v>0.22169740206413724</v>
      </c>
      <c r="Z254">
        <v>104</v>
      </c>
      <c r="AA254">
        <v>133</v>
      </c>
      <c r="AB254">
        <v>237</v>
      </c>
      <c r="AC254" t="s">
        <v>381</v>
      </c>
      <c r="AD254" t="s">
        <v>381</v>
      </c>
      <c r="AE254" t="s">
        <v>381</v>
      </c>
      <c r="AF254" t="s">
        <v>381</v>
      </c>
      <c r="AG254" t="s">
        <v>381</v>
      </c>
    </row>
    <row r="255" spans="1:33" x14ac:dyDescent="0.35">
      <c r="A255" t="s">
        <v>382</v>
      </c>
      <c r="B255" t="s">
        <v>381</v>
      </c>
      <c r="C255" t="s">
        <v>381</v>
      </c>
      <c r="D255" t="s">
        <v>381</v>
      </c>
      <c r="E255" t="s">
        <v>381</v>
      </c>
      <c r="F255" t="s">
        <v>381</v>
      </c>
      <c r="G255" s="11" t="s">
        <v>24</v>
      </c>
      <c r="H255" s="36">
        <v>2023</v>
      </c>
      <c r="I255" s="38" t="s">
        <v>381</v>
      </c>
      <c r="J255" t="s">
        <v>381</v>
      </c>
      <c r="K255" t="s">
        <v>381</v>
      </c>
      <c r="L255" t="s">
        <v>344</v>
      </c>
      <c r="M255" t="s">
        <v>345</v>
      </c>
      <c r="N255" t="s">
        <v>313</v>
      </c>
      <c r="O255" t="s">
        <v>312</v>
      </c>
      <c r="P255" s="4" t="s">
        <v>60</v>
      </c>
      <c r="Q255" s="4" t="s">
        <v>192</v>
      </c>
      <c r="S255">
        <v>95</v>
      </c>
      <c r="T255">
        <v>0.63</v>
      </c>
      <c r="U255">
        <v>0.49</v>
      </c>
      <c r="V255">
        <v>0.82</v>
      </c>
      <c r="W255" s="4">
        <f t="shared" si="14"/>
        <v>1.9599639845400536</v>
      </c>
      <c r="X255" s="4">
        <f t="shared" si="12"/>
        <v>-0.45590041330065156</v>
      </c>
      <c r="Y255" s="4">
        <f t="shared" si="13"/>
        <v>0.13135418640727173</v>
      </c>
      <c r="Z255">
        <v>281</v>
      </c>
      <c r="AA255">
        <v>258</v>
      </c>
      <c r="AB255">
        <v>539</v>
      </c>
      <c r="AC255" t="s">
        <v>381</v>
      </c>
      <c r="AD255" t="s">
        <v>381</v>
      </c>
      <c r="AE255" t="s">
        <v>381</v>
      </c>
      <c r="AF255" t="s">
        <v>381</v>
      </c>
      <c r="AG255" t="s">
        <v>381</v>
      </c>
    </row>
  </sheetData>
  <autoFilter ref="A1:AG255" xr:uid="{76E8AB8F-428F-4D74-AEF0-566E594075FF}"/>
  <phoneticPr fontId="7" type="noConversion"/>
  <hyperlinks>
    <hyperlink ref="D201" r:id="rId1" xr:uid="{A8532C5A-6BA2-4D53-AC11-0A1C7C4DA0BA}"/>
    <hyperlink ref="D179" r:id="rId2" xr:uid="{535CA07F-A18C-4C2D-88C2-FD5F49C2D249}"/>
    <hyperlink ref="D207" r:id="rId3" xr:uid="{BC9B0588-35D6-4288-AB02-1D08DF901772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EF11-B45A-4282-9F39-FAEB101D7239}">
  <dimension ref="A1:H18"/>
  <sheetViews>
    <sheetView workbookViewId="0">
      <selection activeCell="D17" sqref="D17"/>
    </sheetView>
  </sheetViews>
  <sheetFormatPr defaultRowHeight="14.15" x14ac:dyDescent="0.35"/>
  <sheetData>
    <row r="1" spans="1:8" x14ac:dyDescent="0.35">
      <c r="A1" t="s">
        <v>0</v>
      </c>
      <c r="B1" t="s">
        <v>5</v>
      </c>
      <c r="C1" t="s">
        <v>10</v>
      </c>
      <c r="D1" t="s">
        <v>11</v>
      </c>
      <c r="E1" t="s">
        <v>6</v>
      </c>
      <c r="F1" t="s">
        <v>12</v>
      </c>
      <c r="G1" t="s">
        <v>13</v>
      </c>
      <c r="H1" t="s">
        <v>7</v>
      </c>
    </row>
    <row r="9" spans="1:8" ht="56.6" x14ac:dyDescent="0.35">
      <c r="A9" s="1" t="s">
        <v>9</v>
      </c>
    </row>
    <row r="10" spans="1:8" x14ac:dyDescent="0.35">
      <c r="A10" s="2" t="s">
        <v>0</v>
      </c>
      <c r="B10" s="2" t="s">
        <v>5</v>
      </c>
      <c r="C10" s="2" t="s">
        <v>10</v>
      </c>
      <c r="D10" s="2" t="s">
        <v>11</v>
      </c>
      <c r="E10" s="2" t="s">
        <v>6</v>
      </c>
      <c r="F10" s="2" t="s">
        <v>12</v>
      </c>
      <c r="G10" s="2" t="s">
        <v>13</v>
      </c>
      <c r="H10" s="2" t="s">
        <v>7</v>
      </c>
    </row>
    <row r="11" spans="1:8" ht="19.75" x14ac:dyDescent="0.35">
      <c r="A11" s="3" t="s">
        <v>14</v>
      </c>
    </row>
    <row r="12" spans="1:8" ht="49.3" x14ac:dyDescent="0.35">
      <c r="A12" s="3" t="s">
        <v>15</v>
      </c>
    </row>
    <row r="13" spans="1:8" ht="29.6" x14ac:dyDescent="0.35">
      <c r="A13" s="3" t="s">
        <v>16</v>
      </c>
    </row>
    <row r="14" spans="1:8" ht="29.6" x14ac:dyDescent="0.35">
      <c r="A14" s="3" t="s">
        <v>17</v>
      </c>
    </row>
    <row r="15" spans="1:8" ht="29.6" x14ac:dyDescent="0.35">
      <c r="A15" s="3" t="s">
        <v>18</v>
      </c>
    </row>
    <row r="16" spans="1:8" ht="29.6" x14ac:dyDescent="0.35">
      <c r="A16" s="3" t="s">
        <v>19</v>
      </c>
    </row>
    <row r="17" spans="1:1" ht="29.6" x14ac:dyDescent="0.35">
      <c r="A17" s="3" t="s">
        <v>20</v>
      </c>
    </row>
    <row r="18" spans="1:1" ht="29.6" x14ac:dyDescent="0.35">
      <c r="A18" s="3" t="s">
        <v>21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6ECC-4DD1-48A9-A4F1-7D151FD1B905}">
  <dimension ref="A1"/>
  <sheetViews>
    <sheetView workbookViewId="0"/>
  </sheetViews>
  <sheetFormatPr defaultRowHeight="14.15" x14ac:dyDescent="0.3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studies_info</vt:lpstr>
      <vt:lpstr>binary_data</vt:lpstr>
      <vt:lpstr>survival</vt:lpstr>
      <vt:lpstr>continuous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Zuofeng Li</dc:creator>
  <cp:lastModifiedBy>Zuofeng Li</cp:lastModifiedBy>
  <dcterms:created xsi:type="dcterms:W3CDTF">2026-03-10T12:31:54Z</dcterms:created>
  <dcterms:modified xsi:type="dcterms:W3CDTF">2026-03-28T04:01:39Z</dcterms:modified>
</cp:coreProperties>
</file>